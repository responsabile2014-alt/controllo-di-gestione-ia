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a" sheetId="1" state="visible" r:id="rId3"/>
    <sheet name="Impresa_guida" sheetId="2" state="visible" r:id="rId4"/>
    <sheet name="Cap_01" sheetId="3" state="visible" r:id="rId5"/>
    <sheet name="Cap_02" sheetId="4" state="visible" r:id="rId6"/>
    <sheet name="Cap_03" sheetId="5" state="visible" r:id="rId7"/>
    <sheet name="Cap_04" sheetId="6" state="visible" r:id="rId8"/>
    <sheet name="Cap_05" sheetId="7" state="visible" r:id="rId9"/>
    <sheet name="Cap_06" sheetId="8" state="visible" r:id="rId10"/>
    <sheet name="Cap_07" sheetId="9" state="visible" r:id="rId11"/>
    <sheet name="Cap_08" sheetId="10" state="visible" r:id="rId12"/>
    <sheet name="Cap_09" sheetId="11" state="visible" r:id="rId13"/>
    <sheet name="Cap_10" sheetId="12" state="visible" r:id="rId14"/>
    <sheet name="Cap_11" sheetId="13" state="visible" r:id="rId15"/>
    <sheet name="Cap_12" sheetId="14" state="visible" r:id="rId16"/>
    <sheet name="Cap_13" sheetId="15" state="visible" r:id="rId17"/>
    <sheet name="Cap_14" sheetId="16" state="visible" r:id="rId18"/>
    <sheet name="Cap_15" sheetId="17" state="visible" r:id="rId19"/>
    <sheet name="Cap_16" sheetId="18" state="visible" r:id="rId20"/>
    <sheet name="Cap_17" sheetId="19" state="visible" r:id="rId21"/>
    <sheet name="Cap_18" sheetId="20" state="visible" r:id="rId22"/>
    <sheet name="Cap_19" sheetId="21" state="visible" r:id="rId23"/>
    <sheet name="Cap_20" sheetId="22" state="visible" r:id="rId24"/>
    <sheet name="Esercizi_Costi" sheetId="23" state="visible" r:id="rId25"/>
    <sheet name="Esercizi_Analitica" sheetId="24" state="visible" r:id="rId26"/>
    <sheet name="Esercizi_Costing" sheetId="25" state="visible" r:id="rId27"/>
    <sheet name="Esercizi_Pianificazione" sheetId="26" state="visible" r:id="rId28"/>
    <sheet name="Esercizi_Decisioni" sheetId="27" state="visible" r:id="rId29"/>
    <sheet name="Esercizi_IA" sheetId="28" state="visible" r:id="rId30"/>
    <sheet name="Esercizi_Bilancio" sheetId="29" state="visible" r:id="rId31"/>
    <sheet name="Soluzioni_Esercizi" sheetId="30" state="visible" r:id="rId32"/>
    <sheet name="Formule" sheetId="31" state="visible" r:id="rId33"/>
    <sheet name="Glossario" sheetId="32" state="visible" r:id="rId34"/>
    <sheet name="Bilancio_Alfa_2024" sheetId="33" state="visible" r:id="rId35"/>
    <sheet name="Controlli" sheetId="34" state="visible" r:id="rId3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<sst xmlns="http://schemas.openxmlformats.org/spreadsheetml/2006/main" count="10333" uniqueCount="3323">
  <si>
    <t xml:space="preserve">CONTROLLO DI GESTIONE CON L'INTELLIGENZA ARTIFICIALE</t>
  </si>
  <si>
    <t xml:space="preserve">File Excel che accompagna il libro · Autrice: Tania Cilio</t>
  </si>
  <si>
    <t xml:space="preserve">© 2026 Tania Cilio. Tutti i diritti riservati.</t>
  </si>
  <si>
    <t xml:space="preserve">Il file segue il libro capitolo per capitolo, con le formule scritte nelle celle: si vede come nasce ogni numero e lo si può rifare con i propri dati.</t>
  </si>
  <si>
    <t xml:space="preserve">Il foglio «Impresa_guida» contiene i dati di partenza del caso del libro. I fogli «Cap_01» … «Cap_20» li usano nei calcoli di ogni capitolo.</t>
  </si>
  <si>
    <t xml:space="preserve">Celle blu su fondo giallo: dati da cambiare. Celle nere: formule. Colonna «Valore atteso (libro)»: il numero stampato nel libro o il risultato atteso di un controllo (per esempio una differenza uguale a zero). Colonna «Controllo»: OK se il calcolo lo ritrova.</t>
  </si>
  <si>
    <t xml:space="preserve">Se si cambiano i dati, i controlli possono diventare «DIVERSO»: è normale, perché i numeri non sono più quelli del libro.</t>
  </si>
  <si>
    <t xml:space="preserve">Il foglio «Controlli» riunisce tutti i confronti con il libro. Il foglio «Bilancio_Alfa_2024» è la base delle richieste 16-22 e 30 del file Word con le trenta richieste.</t>
  </si>
  <si>
    <t xml:space="preserve">Foglio</t>
  </si>
  <si>
    <t xml:space="preserve">Contenuto</t>
  </si>
  <si>
    <t xml:space="preserve">Capitoli del libro</t>
  </si>
  <si>
    <t xml:space="preserve">Impresa_guida</t>
  </si>
  <si>
    <t xml:space="preserve">Dati di partenza del caso del libro (paragrafo 19.3)</t>
  </si>
  <si>
    <t xml:space="preserve">tutti</t>
  </si>
  <si>
    <t xml:space="preserve">Parte I - Fondamenti di contabilità e analisi economica</t>
  </si>
  <si>
    <t xml:space="preserve">Cap_01</t>
  </si>
  <si>
    <t xml:space="preserve">Capitolo 1 - Leggere la realtà economica dell'impresa</t>
  </si>
  <si>
    <t xml:space="preserve">1</t>
  </si>
  <si>
    <t xml:space="preserve">Cap_02</t>
  </si>
  <si>
    <t xml:space="preserve">Capitolo 2 - Contabilità generale e contabilità analitica</t>
  </si>
  <si>
    <t xml:space="preserve">2</t>
  </si>
  <si>
    <t xml:space="preserve">Cap_03</t>
  </si>
  <si>
    <t xml:space="preserve">Capitolo 3 - Il concetto di costo e le classificazioni</t>
  </si>
  <si>
    <t xml:space="preserve">3</t>
  </si>
  <si>
    <t xml:space="preserve">Cap_04</t>
  </si>
  <si>
    <t xml:space="preserve">Capitolo 4 - Comportamento dei costi</t>
  </si>
  <si>
    <t xml:space="preserve">4</t>
  </si>
  <si>
    <t xml:space="preserve">Parte II - Contabilità analitica, costing, ABC e ABM</t>
  </si>
  <si>
    <t xml:space="preserve">Cap_05</t>
  </si>
  <si>
    <t xml:space="preserve">Capitolo 5 - Oggetti di costo e centri di costo</t>
  </si>
  <si>
    <t xml:space="preserve">5</t>
  </si>
  <si>
    <t xml:space="preserve">Cap_06</t>
  </si>
  <si>
    <t xml:space="preserve">Capitolo 6 - Costi diretti, indiretti e allocazione</t>
  </si>
  <si>
    <t xml:space="preserve">6</t>
  </si>
  <si>
    <t xml:space="preserve">Cap_07</t>
  </si>
  <si>
    <t xml:space="preserve">Capitolo 7 - Full Costing</t>
  </si>
  <si>
    <t xml:space="preserve">7</t>
  </si>
  <si>
    <t xml:space="preserve">Cap_08</t>
  </si>
  <si>
    <t xml:space="preserve">Capitolo 8 - Direct Costing e margine di contribuzione</t>
  </si>
  <si>
    <t xml:space="preserve">8</t>
  </si>
  <si>
    <t xml:space="preserve">Cap_09</t>
  </si>
  <si>
    <t xml:space="preserve">Capitolo 9 - Break-even e analisi costo-volume-risultato</t>
  </si>
  <si>
    <t xml:space="preserve">9</t>
  </si>
  <si>
    <t xml:space="preserve">Cap_10</t>
  </si>
  <si>
    <t xml:space="preserve">Capitolo 10 - Activity Based Costing</t>
  </si>
  <si>
    <t xml:space="preserve">10</t>
  </si>
  <si>
    <t xml:space="preserve">Cap_11</t>
  </si>
  <si>
    <t xml:space="preserve">Capitolo 11 - Activity Based Management</t>
  </si>
  <si>
    <t xml:space="preserve">11</t>
  </si>
  <si>
    <t xml:space="preserve">Parte III - Programmazione, budget e analisi degli scostamenti</t>
  </si>
  <si>
    <t xml:space="preserve">Cap_12</t>
  </si>
  <si>
    <t xml:space="preserve">Capitolo 12 - Budget</t>
  </si>
  <si>
    <t xml:space="preserve">12</t>
  </si>
  <si>
    <t xml:space="preserve">Cap_13</t>
  </si>
  <si>
    <t xml:space="preserve">Capitolo 13 - Budget operativo</t>
  </si>
  <si>
    <t xml:space="preserve">13</t>
  </si>
  <si>
    <t xml:space="preserve">Cap_14</t>
  </si>
  <si>
    <t xml:space="preserve">Capitolo 14 - Budget, consuntivo e analisi degli scostamenti</t>
  </si>
  <si>
    <t xml:space="preserve">14</t>
  </si>
  <si>
    <t xml:space="preserve">Parte IV - Decisioni economiche</t>
  </si>
  <si>
    <t xml:space="preserve">Cap_15</t>
  </si>
  <si>
    <t xml:space="preserve">Capitolo 15 - Costi rilevanti e decisioni</t>
  </si>
  <si>
    <t xml:space="preserve">15</t>
  </si>
  <si>
    <t xml:space="preserve">Cap_16</t>
  </si>
  <si>
    <t xml:space="preserve">Capitolo 16 - Make or Buy</t>
  </si>
  <si>
    <t xml:space="preserve">16</t>
  </si>
  <si>
    <t xml:space="preserve">Cap_17</t>
  </si>
  <si>
    <t xml:space="preserve">Capitolo 17 - Pricing</t>
  </si>
  <si>
    <t xml:space="preserve">17</t>
  </si>
  <si>
    <t xml:space="preserve">Cap_18</t>
  </si>
  <si>
    <t xml:space="preserve">Capitolo 18 - Ottimizzazione dei margini e alternative produttive</t>
  </si>
  <si>
    <t xml:space="preserve">18</t>
  </si>
  <si>
    <t xml:space="preserve">Parte V - Intelligenza artificiale e misurazione delle prestazioni</t>
  </si>
  <si>
    <t xml:space="preserve">Cap_19</t>
  </si>
  <si>
    <t xml:space="preserve">Capitolo 19 - L'intelligenza artificiale nel controllo di gestione</t>
  </si>
  <si>
    <t xml:space="preserve">19</t>
  </si>
  <si>
    <t xml:space="preserve">Cap_20</t>
  </si>
  <si>
    <t xml:space="preserve">Capitolo 20 - KPI essenziali per il controllo di gestione</t>
  </si>
  <si>
    <t xml:space="preserve">20</t>
  </si>
  <si>
    <t xml:space="preserve">Esercizi, formule, glossario e controlli</t>
  </si>
  <si>
    <t xml:space="preserve">Esercizi_Costi</t>
  </si>
  <si>
    <t xml:space="preserve">Classificare i costi (18 voci)</t>
  </si>
  <si>
    <t xml:space="preserve">3, 4, 8, 15, 16</t>
  </si>
  <si>
    <t xml:space="preserve">Esercizi_Analitica</t>
  </si>
  <si>
    <t xml:space="preserve">Allocazione, centri e basi</t>
  </si>
  <si>
    <t xml:space="preserve">5, 6, 10, 11</t>
  </si>
  <si>
    <t xml:space="preserve">Esercizi_Costing</t>
  </si>
  <si>
    <t xml:space="preserve">Full Costing, Direct Costing, pareggio, ABC</t>
  </si>
  <si>
    <t xml:space="preserve">7, 8, 9, 10</t>
  </si>
  <si>
    <t xml:space="preserve">Esercizi_Pianificazione</t>
  </si>
  <si>
    <t xml:space="preserve">Budget e scostamenti</t>
  </si>
  <si>
    <t xml:space="preserve">13, 14</t>
  </si>
  <si>
    <t xml:space="preserve">Esercizi_Decisioni</t>
  </si>
  <si>
    <t xml:space="preserve">Ordine speciale, Make or Buy, prezzi, mix</t>
  </si>
  <si>
    <t xml:space="preserve">15, 16, 17, 18</t>
  </si>
  <si>
    <t xml:space="preserve">Esercizi_IA</t>
  </si>
  <si>
    <t xml:space="preserve">Controllare il lavoro di uno strumento di IA</t>
  </si>
  <si>
    <t xml:space="preserve">Esercizi_Bilancio</t>
  </si>
  <si>
    <t xml:space="preserve">Leggere un bilancio (esempio con numeri inventati)</t>
  </si>
  <si>
    <t xml:space="preserve">1, 20</t>
  </si>
  <si>
    <t xml:space="preserve">Soluzioni_Esercizi</t>
  </si>
  <si>
    <t xml:space="preserve">Soluzioni degli esercizi</t>
  </si>
  <si>
    <t xml:space="preserve">-</t>
  </si>
  <si>
    <t xml:space="preserve">Formule</t>
  </si>
  <si>
    <t xml:space="preserve">Formule del libro</t>
  </si>
  <si>
    <t xml:space="preserve">Glossario</t>
  </si>
  <si>
    <t xml:space="preserve">Termini del libro</t>
  </si>
  <si>
    <t xml:space="preserve">Bilancio_Alfa_2024</t>
  </si>
  <si>
    <t xml:space="preserve">Bilancio di esempio 2024 e 2023 con numeri inventati (base delle richieste 16-22 e 30)</t>
  </si>
  <si>
    <t xml:space="preserve">Controlli</t>
  </si>
  <si>
    <t xml:space="preserve">Tutti i confronti con i numeri del libro</t>
  </si>
  <si>
    <t xml:space="preserve">Impresa guida - dataset master (paragrafo 19.3)</t>
  </si>
  <si>
    <t xml:space="preserve">Controllo di gestione con l'intelligenza artificiale - file Excel che accompagna il libro</t>
  </si>
  <si>
    <t xml:space="preserve">Celle blu su fondo giallo: dati da cambiare. Celle nere: formule. «Valore atteso (libro)» e «Controllo» confrontano il calcolo con il numero stampato nel libro.</t>
  </si>
  <si>
    <t xml:space="preserve">I dati di partenza di tutto il libro. Le celle blu su fondo giallo sono dati: cambiandole si ricalcolano tutti i fogli dei capitoli.</t>
  </si>
  <si>
    <t xml:space="preserve">Linee di prodotto</t>
  </si>
  <si>
    <t xml:space="preserve">Voce</t>
  </si>
  <si>
    <t xml:space="preserve">Valore</t>
  </si>
  <si>
    <t xml:space="preserve">Unità</t>
  </si>
  <si>
    <t xml:space="preserve">Valore atteso (libro)</t>
  </si>
  <si>
    <t xml:space="preserve">Controllo</t>
  </si>
  <si>
    <t xml:space="preserve">Fonte nel libro</t>
  </si>
  <si>
    <t xml:space="preserve">Linea A - unità vendute</t>
  </si>
  <si>
    <t xml:space="preserve">unità</t>
  </si>
  <si>
    <t xml:space="preserve">paragrafo 19.3</t>
  </si>
  <si>
    <t xml:space="preserve">Linea A - prezzo netto unitario</t>
  </si>
  <si>
    <t xml:space="preserve">euro/unità</t>
  </si>
  <si>
    <t xml:space="preserve">Linea A - costo variabile unitario</t>
  </si>
  <si>
    <t xml:space="preserve">Linea A - ore macchina per unità</t>
  </si>
  <si>
    <t xml:space="preserve">ore/unità</t>
  </si>
  <si>
    <t xml:space="preserve">Linea B - unità vendute</t>
  </si>
  <si>
    <t xml:space="preserve">Linea B - prezzo netto unitario</t>
  </si>
  <si>
    <t xml:space="preserve">Linea B - costo variabile unitario</t>
  </si>
  <si>
    <t xml:space="preserve">Linea B - ore macchina per unità</t>
  </si>
  <si>
    <t xml:space="preserve">Linea C - unità vendute</t>
  </si>
  <si>
    <t xml:space="preserve">Linea C - prezzo netto unitario</t>
  </si>
  <si>
    <t xml:space="preserve">Linea C - costo variabile unitario</t>
  </si>
  <si>
    <t xml:space="preserve">Linea C - ore macchina per unità</t>
  </si>
  <si>
    <t xml:space="preserve">Struttura e capacità</t>
  </si>
  <si>
    <t xml:space="preserve">Struttura base - attività commerciali e logistiche</t>
  </si>
  <si>
    <t xml:space="preserve">euro</t>
  </si>
  <si>
    <t xml:space="preserve">Struttura base - costi indiretti di produzione</t>
  </si>
  <si>
    <t xml:space="preserve">Struttura base - costi amministrativi</t>
  </si>
  <si>
    <t xml:space="preserve">Capacità ordinaria del reparto</t>
  </si>
  <si>
    <t xml:space="preserve">ore</t>
  </si>
  <si>
    <t xml:space="preserve">Costo di un'ora di capacità esterna</t>
  </si>
  <si>
    <t xml:space="preserve">euro/ora</t>
  </si>
  <si>
    <t xml:space="preserve">Risultati (calcolati)</t>
  </si>
  <si>
    <t xml:space="preserve">Ricavi linea A</t>
  </si>
  <si>
    <t xml:space="preserve">capitolo 1; paragrafo 19.3</t>
  </si>
  <si>
    <t xml:space="preserve">Ricavi linea B</t>
  </si>
  <si>
    <t xml:space="preserve">Ricavi linea C</t>
  </si>
  <si>
    <t xml:space="preserve">Ricavi totali</t>
  </si>
  <si>
    <t xml:space="preserve">Costi variabili totali</t>
  </si>
  <si>
    <t xml:space="preserve">Margine di contribuzione totale</t>
  </si>
  <si>
    <t xml:space="preserve">Ore macchina richieste</t>
  </si>
  <si>
    <t xml:space="preserve">Ore di capacità esterna</t>
  </si>
  <si>
    <t xml:space="preserve">Costo della capacità esterna</t>
  </si>
  <si>
    <t xml:space="preserve">Struttura base</t>
  </si>
  <si>
    <t xml:space="preserve">Costi della struttura</t>
  </si>
  <si>
    <t xml:space="preserve">Risultato operativo</t>
  </si>
  <si>
    <t xml:space="preserve">Il Conto Economico letto per gradini e la differenza fra costo, acquisto, pagamento, ricavo e incasso.</t>
  </si>
  <si>
    <t xml:space="preserve">Conto Economico per gradini - esempio</t>
  </si>
  <si>
    <t xml:space="preserve">Il risultato si forma per gradini: margine di contribuzione, risultato operativo, risultato economico; capitolo 1</t>
  </si>
  <si>
    <t xml:space="preserve">Ricavi di vendita</t>
  </si>
  <si>
    <t xml:space="preserve">capitolo 1</t>
  </si>
  <si>
    <t xml:space="preserve">Costi variabili</t>
  </si>
  <si>
    <t xml:space="preserve">Margine di contribuzione</t>
  </si>
  <si>
    <t xml:space="preserve">Costi fissi di struttura</t>
  </si>
  <si>
    <t xml:space="preserve">Oneri finanziari</t>
  </si>
  <si>
    <t xml:space="preserve">Risultato economico del periodo</t>
  </si>
  <si>
    <t xml:space="preserve">Acquisto, costo e magazzino</t>
  </si>
  <si>
    <t xml:space="preserve">Il costo è la risorsa consumata, non l'acquisto: la parte non consumata resta in magazzino; capitolo 1</t>
  </si>
  <si>
    <t xml:space="preserve">Acquisto di materia prima</t>
  </si>
  <si>
    <t xml:space="preserve">Materia consumata nel periodo</t>
  </si>
  <si>
    <t xml:space="preserve">Costo del periodo</t>
  </si>
  <si>
    <t xml:space="preserve">Rimane in magazzino (attività)</t>
  </si>
  <si>
    <t xml:space="preserve">Ammortamento: costo senza pagamento</t>
  </si>
  <si>
    <t xml:space="preserve">Un macchinario pagato una volta diventa costo anno per anno; capitolo 1</t>
  </si>
  <si>
    <t xml:space="preserve">Costo del macchinario</t>
  </si>
  <si>
    <t xml:space="preserve">Anni di utilizzo</t>
  </si>
  <si>
    <t xml:space="preserve">anni</t>
  </si>
  <si>
    <t xml:space="preserve">Ammortamento annuo</t>
  </si>
  <si>
    <t xml:space="preserve">Impresa guida - Conto Economico per gradini</t>
  </si>
  <si>
    <t xml:space="preserve">Il Conto Economico dell'esercizio letto per gradini, dai dati del foglio Impresa_guida; capitolo 1</t>
  </si>
  <si>
    <t xml:space="preserve">Impresa guida - lettura finanziaria</t>
  </si>
  <si>
    <t xml:space="preserve">Ricavi e incassi non coincidono: con i crediti in aumento l'incasso è minore del ricavo; l'ammortamento è costo senza pagamento; capitolo 1</t>
  </si>
  <si>
    <t xml:space="preserve">Ammortamento impianti (costo senza pagamento)</t>
  </si>
  <si>
    <t xml:space="preserve">Aumento dei crediti verso clienti (ipotesi del caso)</t>
  </si>
  <si>
    <t xml:space="preserve">Incassi dalle vendite</t>
  </si>
  <si>
    <t xml:space="preserve">Il partitario della struttura dell'impresa guida letto per natura e per destinazione, con le quadrature.</t>
  </si>
  <si>
    <t xml:space="preserve">Partitario della struttura - reparto di lavorazione</t>
  </si>
  <si>
    <t xml:space="preserve">Destinazione reparto: le voci per natura; capitolo 2</t>
  </si>
  <si>
    <t xml:space="preserve">Retribuzioni</t>
  </si>
  <si>
    <t xml:space="preserve">capitolo 2</t>
  </si>
  <si>
    <t xml:space="preserve">Ammortamenti</t>
  </si>
  <si>
    <t xml:space="preserve">Lavorazioni esterne e straordinari</t>
  </si>
  <si>
    <t xml:space="preserve">Servizi, sistemi e materiali</t>
  </si>
  <si>
    <t xml:space="preserve">Totale reparto</t>
  </si>
  <si>
    <t xml:space="preserve">Partitario della struttura - funzioni che servono i clienti</t>
  </si>
  <si>
    <t xml:space="preserve">Gestione ordini, consegne, assistenza tecnica; capitolo 2</t>
  </si>
  <si>
    <t xml:space="preserve">Gestione ordini - retribuzioni</t>
  </si>
  <si>
    <t xml:space="preserve">Gestione ordini - servizi, sistemi e materiali</t>
  </si>
  <si>
    <t xml:space="preserve">Totale gestione ordini</t>
  </si>
  <si>
    <t xml:space="preserve">Consegne - retribuzioni</t>
  </si>
  <si>
    <t xml:space="preserve">Consegne - servizi (trasporti su vendite)</t>
  </si>
  <si>
    <t xml:space="preserve">Totale consegne</t>
  </si>
  <si>
    <t xml:space="preserve">Assistenza tecnica - retribuzioni</t>
  </si>
  <si>
    <t xml:space="preserve">Assistenza tecnica - ricambi e trasferte</t>
  </si>
  <si>
    <t xml:space="preserve">Totale assistenza tecnica</t>
  </si>
  <si>
    <t xml:space="preserve">Funzioni che servono i clienti</t>
  </si>
  <si>
    <t xml:space="preserve">Partitario della struttura - amministrazione</t>
  </si>
  <si>
    <t xml:space="preserve">Destinazione amministrazione; capitolo 2</t>
  </si>
  <si>
    <t xml:space="preserve">Retribuzioni amministrative</t>
  </si>
  <si>
    <t xml:space="preserve">Totale amministrazione</t>
  </si>
  <si>
    <t xml:space="preserve">Totali per natura</t>
  </si>
  <si>
    <t xml:space="preserve">La lettura della contabilità generale; capitolo 2</t>
  </si>
  <si>
    <t xml:space="preserve">Totale per natura</t>
  </si>
  <si>
    <t xml:space="preserve">Quadratura natura - destinazione</t>
  </si>
  <si>
    <t xml:space="preserve">La riclassificazione sposta gli importi, non li crea e non li perde; capitolo 2</t>
  </si>
  <si>
    <t xml:space="preserve">Totale per destinazione</t>
  </si>
  <si>
    <t xml:space="preserve">Differenza natura - destinazione</t>
  </si>
  <si>
    <t xml:space="preserve">Differenza con i costi della struttura del master</t>
  </si>
  <si>
    <t xml:space="preserve">Differenza costi indiretti di produzione (retribuzioni + ammortamenti di reparto) con il master</t>
  </si>
  <si>
    <t xml:space="preserve">Differenza funzioni clienti con il master</t>
  </si>
  <si>
    <t xml:space="preserve">Lavorazioni esterne: un importo, tre domande</t>
  </si>
  <si>
    <t xml:space="preserve">Gli 84.000 euro sono 3.000 ore di capacità aggiuntiva a 28 euro oltre le 21.000 ore del reparto; capitolo 2</t>
  </si>
  <si>
    <t xml:space="preserve">Ore di capacità aggiuntiva</t>
  </si>
  <si>
    <t xml:space="preserve">Costo della capacità aggiuntiva</t>
  </si>
  <si>
    <t xml:space="preserve">Differenza con il partitario</t>
  </si>
  <si>
    <t xml:space="preserve">Il costo come risorsa consumata e la stessa voce letta da più prospettive.</t>
  </si>
  <si>
    <t xml:space="preserve">Costo della risorsa consumata</t>
  </si>
  <si>
    <t xml:space="preserve">Costo = quantità consumata x valore unitario; il non consumato resta in magazzino; capitolo 3</t>
  </si>
  <si>
    <t xml:space="preserve">Materiale acquistato</t>
  </si>
  <si>
    <t xml:space="preserve">capitolo 3</t>
  </si>
  <si>
    <t xml:space="preserve">Materiale consumato nel mese</t>
  </si>
  <si>
    <t xml:space="preserve">Valore al chilogrammo</t>
  </si>
  <si>
    <t xml:space="preserve">euro/kg</t>
  </si>
  <si>
    <t xml:space="preserve">Costo del materiale consumato</t>
  </si>
  <si>
    <t xml:space="preserve">Valore rimasto in magazzino</t>
  </si>
  <si>
    <t xml:space="preserve">Lettura per natura del personale</t>
  </si>
  <si>
    <t xml:space="preserve">Il dato per natura segnala l'aumento ma non dice dove nasce; capitolo 3</t>
  </si>
  <si>
    <t xml:space="preserve">Costo del personale - prima</t>
  </si>
  <si>
    <t xml:space="preserve">Costo del personale - dopo</t>
  </si>
  <si>
    <t xml:space="preserve">Aumento</t>
  </si>
  <si>
    <t xml:space="preserve">Costo variabile e costo fisso</t>
  </si>
  <si>
    <t xml:space="preserve">Il variabile segue i volumi; il fisso resta nel totale ma scende per unità; capitolo 3</t>
  </si>
  <si>
    <t xml:space="preserve">Materiale per unità</t>
  </si>
  <si>
    <t xml:space="preserve">Volume 1</t>
  </si>
  <si>
    <t xml:space="preserve">Volume 2</t>
  </si>
  <si>
    <t xml:space="preserve">Costo variabile - volume 1</t>
  </si>
  <si>
    <t xml:space="preserve">Costo variabile - volume 2</t>
  </si>
  <si>
    <t xml:space="preserve">Canone mensile</t>
  </si>
  <si>
    <t xml:space="preserve">Costo fisso per unità - volume 1</t>
  </si>
  <si>
    <t xml:space="preserve">Costo fisso per unità - volume 2</t>
  </si>
  <si>
    <t xml:space="preserve">Impresa guida - la voce lavorazioni esterne</t>
  </si>
  <si>
    <t xml:space="preserve">Il comportamento dipende dalle ore oltre le 21.000: 84.000 / 28 = 3.000 ore; capitolo 3</t>
  </si>
  <si>
    <t xml:space="preserve">Ore coperte dalla voce (84.000 / 28)</t>
  </si>
  <si>
    <t xml:space="preserve">Ore richieste oltre la capacità</t>
  </si>
  <si>
    <t xml:space="preserve">Differenza</t>
  </si>
  <si>
    <t xml:space="preserve">Impresa guida - struttura rispetto alla decisione sui volumi</t>
  </si>
  <si>
    <t xml:space="preserve">I dieci conti divisi in tre gruppi; capitolo 3</t>
  </si>
  <si>
    <t xml:space="preserve">Riducibili entro l'esercizio (lavorazioni, trasporti, ricambi)</t>
  </si>
  <si>
    <t xml:space="preserve">Riducibili nelle decisioni di volume del caso</t>
  </si>
  <si>
    <t xml:space="preserve">Riducibili solo sugli organici (retribuzioni)</t>
  </si>
  <si>
    <t xml:space="preserve">Invariati (ammortamento, sistemi ordini, amministrazione)</t>
  </si>
  <si>
    <t xml:space="preserve">Totale dei tre gruppi</t>
  </si>
  <si>
    <t xml:space="preserve">Costi variabili, fissi, misti e a gradini, la funzione di costo e la simulazione dei livelli di attività dell'impresa guida.</t>
  </si>
  <si>
    <t xml:space="preserve">Costo variabile</t>
  </si>
  <si>
    <t xml:space="preserve">Costo variabile totale = costo variabile unitario x quantità; capitolo 4</t>
  </si>
  <si>
    <t xml:space="preserve">capitolo 4</t>
  </si>
  <si>
    <t xml:space="preserve">Quantità 1</t>
  </si>
  <si>
    <t xml:space="preserve">Quantità 2</t>
  </si>
  <si>
    <t xml:space="preserve">Quantità 3</t>
  </si>
  <si>
    <t xml:space="preserve">Costo variabile totale - quantità 1</t>
  </si>
  <si>
    <t xml:space="preserve">Costo variabile totale - quantità 2</t>
  </si>
  <si>
    <t xml:space="preserve">Costo variabile totale - quantità 3</t>
  </si>
  <si>
    <t xml:space="preserve">Costo fisso e costo fisso unitario</t>
  </si>
  <si>
    <t xml:space="preserve">Costo fisso unitario = costo fisso totale / quantità: scende quando il volume cresce; capitolo 4</t>
  </si>
  <si>
    <t xml:space="preserve">Costo fisso unitario - quantità 1</t>
  </si>
  <si>
    <t xml:space="preserve">Costo fisso unitario - quantità 2</t>
  </si>
  <si>
    <t xml:space="preserve">Costo fisso unitario - quantità 3</t>
  </si>
  <si>
    <t xml:space="preserve">Capacità inutilizzata - esempio</t>
  </si>
  <si>
    <t xml:space="preserve">Le ore non impiegate si espongono a parte, non si caricano sui prodotti; capitolo 4</t>
  </si>
  <si>
    <t xml:space="preserve">Costo della struttura</t>
  </si>
  <si>
    <t xml:space="preserve">Ore sostenibili</t>
  </si>
  <si>
    <t xml:space="preserve">Ore utilizzate</t>
  </si>
  <si>
    <t xml:space="preserve">Costo teorico della capacità per ora</t>
  </si>
  <si>
    <t xml:space="preserve">Capacità disponibile non impiegata</t>
  </si>
  <si>
    <t xml:space="preserve">Metodo dei livelli massimo e minimo</t>
  </si>
  <si>
    <t xml:space="preserve">Stima della funzione di un costo misto: variabile per ora e componente fissa; capitolo 4</t>
  </si>
  <si>
    <t xml:space="preserve">Livello alto - ore macchina</t>
  </si>
  <si>
    <t xml:space="preserve">Livello alto - costo manutenzione</t>
  </si>
  <si>
    <t xml:space="preserve">Livello basso - ore macchina</t>
  </si>
  <si>
    <t xml:space="preserve">Livello basso - costo manutenzione</t>
  </si>
  <si>
    <t xml:space="preserve">Differenza ore</t>
  </si>
  <si>
    <t xml:space="preserve">Differenza costo</t>
  </si>
  <si>
    <t xml:space="preserve">Costo variabile per ora</t>
  </si>
  <si>
    <t xml:space="preserve">Componente fissa</t>
  </si>
  <si>
    <t xml:space="preserve">Controllo sul livello basso (funzione - costo)</t>
  </si>
  <si>
    <t xml:space="preserve">Previsione mensile con un gradino</t>
  </si>
  <si>
    <t xml:space="preserve">Ogni voce si ricostruisce secondo il suo comportamento, soglia compresa; capitolo 4</t>
  </si>
  <si>
    <t xml:space="preserve">Volume atteso</t>
  </si>
  <si>
    <t xml:space="preserve">Costo variabile unitario</t>
  </si>
  <si>
    <t xml:space="preserve">Struttura fissa</t>
  </si>
  <si>
    <t xml:space="preserve">Soglia del supervisore aggiuntivo</t>
  </si>
  <si>
    <t xml:space="preserve">Costo del supervisore aggiuntivo</t>
  </si>
  <si>
    <t xml:space="preserve">Gradino di capacità</t>
  </si>
  <si>
    <t xml:space="preserve">Costo previsto</t>
  </si>
  <si>
    <t xml:space="preserve">Impresa guida - funzione di costo a tratti</t>
  </si>
  <si>
    <t xml:space="preserve">Costo totale = struttura base + costi variabili di linea + 28 x ore oltre 21.000; capitolo 4</t>
  </si>
  <si>
    <t xml:space="preserve">Costi variabili di linea</t>
  </si>
  <si>
    <t xml:space="preserve">Struttura base (820.000 - 84.000)</t>
  </si>
  <si>
    <t xml:space="preserve">Capacità aggiuntiva</t>
  </si>
  <si>
    <t xml:space="preserve">Costo totale</t>
  </si>
  <si>
    <t xml:space="preserve">Controllo: ricavi - risultato operativo - costo totale</t>
  </si>
  <si>
    <t xml:space="preserve">Impresa guida - simulazione dei livelli di attività</t>
  </si>
  <si>
    <t xml:space="preserve">Stesse proporzioni fra le linee, prezzi e costi unitari invariati, struttura base costante; capitolo 4</t>
  </si>
  <si>
    <t xml:space="preserve">Livello 80% - livello di attività</t>
  </si>
  <si>
    <t xml:space="preserve">%</t>
  </si>
  <si>
    <t xml:space="preserve">Livello 80% - unità</t>
  </si>
  <si>
    <t xml:space="preserve">Livello 80% - ore macchina</t>
  </si>
  <si>
    <t xml:space="preserve">Livello 80% - costi variabili</t>
  </si>
  <si>
    <t xml:space="preserve">Livello 80% - ore di capacità aggiuntiva</t>
  </si>
  <si>
    <t xml:space="preserve">Livello 80% - capacità aggiuntiva</t>
  </si>
  <si>
    <t xml:space="preserve">Livello 80% - costo totale</t>
  </si>
  <si>
    <t xml:space="preserve">Livello 80% - struttura base per ora</t>
  </si>
  <si>
    <t xml:space="preserve">Livello 87,5% - livello di attività</t>
  </si>
  <si>
    <t xml:space="preserve">Livello 87,5% - unità</t>
  </si>
  <si>
    <t xml:space="preserve">Livello 87,5% - ore macchina</t>
  </si>
  <si>
    <t xml:space="preserve">Livello 87,5% - costi variabili</t>
  </si>
  <si>
    <t xml:space="preserve">Livello 87,5% - ore di capacità aggiuntiva</t>
  </si>
  <si>
    <t xml:space="preserve">Livello 87,5% - capacità aggiuntiva</t>
  </si>
  <si>
    <t xml:space="preserve">Livello 87,5% - costo totale</t>
  </si>
  <si>
    <t xml:space="preserve">Livello 87,5% - struttura base per ora</t>
  </si>
  <si>
    <t xml:space="preserve">Livello 90% - livello di attività</t>
  </si>
  <si>
    <t xml:space="preserve">Livello 90% - unità</t>
  </si>
  <si>
    <t xml:space="preserve">Livello 90% - ore macchina</t>
  </si>
  <si>
    <t xml:space="preserve">Livello 90% - costi variabili</t>
  </si>
  <si>
    <t xml:space="preserve">Livello 90% - ore di capacità aggiuntiva</t>
  </si>
  <si>
    <t xml:space="preserve">Livello 90% - capacità aggiuntiva</t>
  </si>
  <si>
    <t xml:space="preserve">Livello 90% - costo totale</t>
  </si>
  <si>
    <t xml:space="preserve">Livello 90% - struttura base per ora</t>
  </si>
  <si>
    <t xml:space="preserve">Livello 100% - livello di attività</t>
  </si>
  <si>
    <t xml:space="preserve">Livello 100% - unità</t>
  </si>
  <si>
    <t xml:space="preserve">Livello 100% - ore macchina</t>
  </si>
  <si>
    <t xml:space="preserve">Livello 100% - costi variabili</t>
  </si>
  <si>
    <t xml:space="preserve">Livello 100% - ore di capacità aggiuntiva</t>
  </si>
  <si>
    <t xml:space="preserve">Livello 100% - capacità aggiuntiva</t>
  </si>
  <si>
    <t xml:space="preserve">Livello 100% - costo totale</t>
  </si>
  <si>
    <t xml:space="preserve">Livello 100% - struttura base per ora</t>
  </si>
  <si>
    <t xml:space="preserve">Impresa guida - capacità inutilizzata all'80%</t>
  </si>
  <si>
    <t xml:space="preserve">Le ore libere valorizzate al costo della capacità del reparto, calcolato senza arrotondare; capitolo 4</t>
  </si>
  <si>
    <t xml:space="preserve">Ore libere all'80%</t>
  </si>
  <si>
    <t xml:space="preserve">Costi indiretti di produzione (46.000 + 74.000)</t>
  </si>
  <si>
    <t xml:space="preserve">Costo della capacità del reparto per ora</t>
  </si>
  <si>
    <t xml:space="preserve">Capacità non impiegata</t>
  </si>
  <si>
    <t xml:space="preserve">Il piano dei sette centri dell'impresa guida e la sua quadratura con i costi della struttura, prima di qualsiasi allocazione.</t>
  </si>
  <si>
    <t xml:space="preserve">Oggetti di costo dell'impresa guida</t>
  </si>
  <si>
    <t xml:space="preserve">Linee e canali come oggetti finali: unità, ricavi e clienti per canale; capitolo 5</t>
  </si>
  <si>
    <t xml:space="preserve">Unità vendute, tre linee</t>
  </si>
  <si>
    <t xml:space="preserve">capitolo 5</t>
  </si>
  <si>
    <t xml:space="preserve">Ricavi delle tre linee</t>
  </si>
  <si>
    <t xml:space="preserve">Canale diretto - clienti</t>
  </si>
  <si>
    <t xml:space="preserve">clienti</t>
  </si>
  <si>
    <t xml:space="preserve">Canale diretto - ricavi</t>
  </si>
  <si>
    <t xml:space="preserve">Distributori - ricavi</t>
  </si>
  <si>
    <t xml:space="preserve">Ricavi dei due canali</t>
  </si>
  <si>
    <t xml:space="preserve">Controllo canali meno linee</t>
  </si>
  <si>
    <t xml:space="preserve">Ore macchina richieste dai volumi</t>
  </si>
  <si>
    <t xml:space="preserve">Ore di cui il reparto dispone</t>
  </si>
  <si>
    <t xml:space="preserve">Piano dei centri - reparto</t>
  </si>
  <si>
    <t xml:space="preserve">Tre centri del reparto: due ausiliari e un produttivo, con la misura di attività; capitolo 5</t>
  </si>
  <si>
    <t xml:space="preserve">Manutenzione (ausiliario)</t>
  </si>
  <si>
    <t xml:space="preserve">Programmazione e qualità (ausiliario)</t>
  </si>
  <si>
    <t xml:space="preserve">Lavorazione (produttivo)</t>
  </si>
  <si>
    <t xml:space="preserve">Lavorazione - ore macchina (con le 3.000 esterne)</t>
  </si>
  <si>
    <t xml:space="preserve">di cui ore di capacità esterna</t>
  </si>
  <si>
    <t xml:space="preserve">Totale centri del reparto</t>
  </si>
  <si>
    <t xml:space="preserve">Controllo con i costi indiretti di produzione</t>
  </si>
  <si>
    <t xml:space="preserve">Piano dei centri - commerciali e logistici</t>
  </si>
  <si>
    <t xml:space="preserve">Tre centri che servono i clienti, con il volume della loro misura di attività; capitolo 5</t>
  </si>
  <si>
    <t xml:space="preserve">Gestione ordini</t>
  </si>
  <si>
    <t xml:space="preserve">Gestione ordini - numero ordini</t>
  </si>
  <si>
    <t xml:space="preserve">ordini</t>
  </si>
  <si>
    <t xml:space="preserve">Consegne</t>
  </si>
  <si>
    <t xml:space="preserve">Consegne - numero consegne</t>
  </si>
  <si>
    <t xml:space="preserve">consegne</t>
  </si>
  <si>
    <t xml:space="preserve">Assistenza tecnica</t>
  </si>
  <si>
    <t xml:space="preserve">Assistenza tecnica - ore di assistenza</t>
  </si>
  <si>
    <t xml:space="preserve">Totale centri commerciali e logistici</t>
  </si>
  <si>
    <t xml:space="preserve">Controllo con le attività commerciali e logistiche</t>
  </si>
  <si>
    <t xml:space="preserve">Piano dei centri - struttura</t>
  </si>
  <si>
    <t xml:space="preserve">Amministrazione: centro di struttura in gestione separata, non ripartito; capitolo 5</t>
  </si>
  <si>
    <t xml:space="preserve">Amministrazione (struttura)</t>
  </si>
  <si>
    <t xml:space="preserve">Controllo con i costi amministrativi</t>
  </si>
  <si>
    <t xml:space="preserve">Quadratura del piano</t>
  </si>
  <si>
    <t xml:space="preserve">Sette centri, riga propria della capacità esterna e ritorno ai costi della struttura; capitolo 5</t>
  </si>
  <si>
    <t xml:space="preserve">Costi raccolti dai sette centri</t>
  </si>
  <si>
    <t xml:space="preserve">Controllo con la struttura base</t>
  </si>
  <si>
    <t xml:space="preserve">Capacità aggiuntiva - ore</t>
  </si>
  <si>
    <t xml:space="preserve">Capacità aggiuntiva - costo orario</t>
  </si>
  <si>
    <t xml:space="preserve">Lavorazioni esterne e straordinari (riga propria)</t>
  </si>
  <si>
    <t xml:space="preserve">Totale costi della struttura</t>
  </si>
  <si>
    <t xml:space="preserve">Controllo con il Conto Economico gestionale</t>
  </si>
  <si>
    <t xml:space="preserve">Partitario e piano per funzione</t>
  </si>
  <si>
    <t xml:space="preserve">Gli stessi 120.000 euro letti per natura nel partitario e per funzione nel piano; capitolo 5</t>
  </si>
  <si>
    <t xml:space="preserve">Partitario - ammortamento impianti</t>
  </si>
  <si>
    <t xml:space="preserve">Partitario - retribuzioni produzione indiretta</t>
  </si>
  <si>
    <t xml:space="preserve">Partitario - costi indiretti di produzione</t>
  </si>
  <si>
    <t xml:space="preserve">Partitario meno piano per funzione</t>
  </si>
  <si>
    <t xml:space="preserve">Coefficienti di allocazione, ribaltamento dei centri ausiliari con tre metodi e allocazione dei costi indiretti dell'impresa guida sulle ore e sulle unità.</t>
  </si>
  <si>
    <t xml:space="preserve">Coefficiente di allocazione</t>
  </si>
  <si>
    <t xml:space="preserve">Coefficiente = costi del centro / volume della base; costo allocato = coefficiente x base; capitolo 6</t>
  </si>
  <si>
    <t xml:space="preserve">Costi del centro produttivo</t>
  </si>
  <si>
    <t xml:space="preserve">capitolo 6</t>
  </si>
  <si>
    <t xml:space="preserve">Ore macchina previste</t>
  </si>
  <si>
    <t xml:space="preserve">Coefficiente</t>
  </si>
  <si>
    <t xml:space="preserve">Ore usate dal prodotto</t>
  </si>
  <si>
    <t xml:space="preserve">Costo allocato al prodotto</t>
  </si>
  <si>
    <t xml:space="preserve">Tre metodi - dati</t>
  </si>
  <si>
    <t xml:space="preserve">Stabilimento con due ausiliari che si servono a vicenda: costi propri e percentuali di servizio; capitolo 6</t>
  </si>
  <si>
    <t xml:space="preserve">Manutenzione - costi propri</t>
  </si>
  <si>
    <t xml:space="preserve">Servizi energetici - costi propri</t>
  </si>
  <si>
    <t xml:space="preserve">Lavorazione - costi propri</t>
  </si>
  <si>
    <t xml:space="preserve">Assemblaggio - costi propri</t>
  </si>
  <si>
    <t xml:space="preserve">Totale costi propri</t>
  </si>
  <si>
    <t xml:space="preserve">Manutenzione a Servizi energetici</t>
  </si>
  <si>
    <t xml:space="preserve">Manutenzione a Lavorazione</t>
  </si>
  <si>
    <t xml:space="preserve">Manutenzione ad Assemblaggio</t>
  </si>
  <si>
    <t xml:space="preserve">Servizi energetici a Manutenzione</t>
  </si>
  <si>
    <t xml:space="preserve">Servizi energetici a Lavorazione</t>
  </si>
  <si>
    <t xml:space="preserve">Servizi energetici ad Assemblaggio</t>
  </si>
  <si>
    <t xml:space="preserve">Metodo diretto</t>
  </si>
  <si>
    <t xml:space="preserve">Scambi fra ausiliari ignorati, percentuali ricalcolate sui soli produttivi; capitolo 6</t>
  </si>
  <si>
    <t xml:space="preserve">Manutenzione - quota Lavorazione</t>
  </si>
  <si>
    <t xml:space="preserve">Manutenzione - quota Assemblaggio</t>
  </si>
  <si>
    <t xml:space="preserve">Servizi energetici - quota Lavorazione</t>
  </si>
  <si>
    <t xml:space="preserve">Servizi energetici - quota Assemblaggio</t>
  </si>
  <si>
    <t xml:space="preserve">Lavorazione dopo il metodo diretto</t>
  </si>
  <si>
    <t xml:space="preserve">Assemblaggio dopo il metodo diretto</t>
  </si>
  <si>
    <t xml:space="preserve">Totale dopo il metodo diretto</t>
  </si>
  <si>
    <t xml:space="preserve">Metodo a cascata</t>
  </si>
  <si>
    <t xml:space="preserve">Si chiude per primo l'ausiliario che presta più servizi all'altro; capitolo 6</t>
  </si>
  <si>
    <t xml:space="preserve">Servizi della Manutenzione ai Servizi energetici</t>
  </si>
  <si>
    <t xml:space="preserve">Servizi dei Servizi energetici alla Manutenzione</t>
  </si>
  <si>
    <t xml:space="preserve">Centro da chiudere per primo</t>
  </si>
  <si>
    <t xml:space="preserve">Manutenzione</t>
  </si>
  <si>
    <t xml:space="preserve">Servizi energetici dopo la Manutenzione</t>
  </si>
  <si>
    <t xml:space="preserve">Lavorazione dopo la cascata</t>
  </si>
  <si>
    <t xml:space="preserve">Assemblaggio dopo la cascata</t>
  </si>
  <si>
    <t xml:space="preserve">Totale dopo la cascata</t>
  </si>
  <si>
    <t xml:space="preserve">Metodo reciproco</t>
  </si>
  <si>
    <t xml:space="preserve">Sistema M = 50.000 + 0,20 x S e S = 35.000 + 0,25 x M, poi distribuzione con le percentuali originali; capitolo 6</t>
  </si>
  <si>
    <t xml:space="preserve">Manutenzione - costo complessivo M</t>
  </si>
  <si>
    <t xml:space="preserve">Servizi energetici - costo complessivo S</t>
  </si>
  <si>
    <t xml:space="preserve">Scambio Manutenzione a Servizi energetici</t>
  </si>
  <si>
    <t xml:space="preserve">Scambio Servizi energetici a Manutenzione</t>
  </si>
  <si>
    <t xml:space="preserve">Arrivato ai centri produttivi</t>
  </si>
  <si>
    <t xml:space="preserve">Lavorazione dopo il reciproco</t>
  </si>
  <si>
    <t xml:space="preserve">Assemblaggio dopo il reciproco</t>
  </si>
  <si>
    <t xml:space="preserve">Totale dopo il reciproco</t>
  </si>
  <si>
    <t xml:space="preserve">Confronto dei metodi</t>
  </si>
  <si>
    <t xml:space="preserve">Differenze sulla Lavorazione rispetto al reciproco e cascata in ordine inverso; capitolo 6</t>
  </si>
  <si>
    <t xml:space="preserve">Lavorazione: diretto meno reciproco</t>
  </si>
  <si>
    <t xml:space="preserve">Lavorazione: cascata meno reciproco</t>
  </si>
  <si>
    <t xml:space="preserve">Ordine inverso - Servizi energetici a Manutenzione</t>
  </si>
  <si>
    <t xml:space="preserve">Ordine inverso - Manutenzione salita a</t>
  </si>
  <si>
    <t xml:space="preserve">Ordine inverso - Lavorazione</t>
  </si>
  <si>
    <t xml:space="preserve">Ordine inverso - Assemblaggio</t>
  </si>
  <si>
    <t xml:space="preserve">Ordine inverso - totale</t>
  </si>
  <si>
    <t xml:space="preserve">Esempio completo di allocazione</t>
  </si>
  <si>
    <t xml:space="preserve">Centro di 180.000 euro su 9.000 ore macchina, due prodotti; capitolo 6</t>
  </si>
  <si>
    <t xml:space="preserve">Costi indiretti del centro</t>
  </si>
  <si>
    <t xml:space="preserve">Prodotto A - ore macchina</t>
  </si>
  <si>
    <t xml:space="preserve">Prodotto B - ore macchina</t>
  </si>
  <si>
    <t xml:space="preserve">Totale ore macchina</t>
  </si>
  <si>
    <t xml:space="preserve">Prodotto A - costo allocato</t>
  </si>
  <si>
    <t xml:space="preserve">Prodotto B - costo allocato</t>
  </si>
  <si>
    <t xml:space="preserve">Totale allocato</t>
  </si>
  <si>
    <t xml:space="preserve">Tariffa prestabilita</t>
  </si>
  <si>
    <t xml:space="preserve">Scostamento del centro = costi effettivi - costi applicati; capitolo 6</t>
  </si>
  <si>
    <t xml:space="preserve">Costi effettivi del centro</t>
  </si>
  <si>
    <t xml:space="preserve">Costi applicati ai prodotti</t>
  </si>
  <si>
    <t xml:space="preserve">Scostamento del centro</t>
  </si>
  <si>
    <t xml:space="preserve">Impresa guida - ribaltamento</t>
  </si>
  <si>
    <t xml:space="preserve">Manutenzione chiusa per prima a cascata; Lavorazione arriva ai 120.000 euro; capitolo 6</t>
  </si>
  <si>
    <t xml:space="preserve">Manutenzione a Programmazione e qualità</t>
  </si>
  <si>
    <t xml:space="preserve">Programmazione e qualità dopo la Manutenzione</t>
  </si>
  <si>
    <t xml:space="preserve">Programmazione e qualità a Lavorazione</t>
  </si>
  <si>
    <t xml:space="preserve">Lavorazione dopo i ribaltamenti</t>
  </si>
  <si>
    <t xml:space="preserve">Centri ausiliari dopo i ribaltamenti</t>
  </si>
  <si>
    <t xml:space="preserve">Impresa guida - coefficienti</t>
  </si>
  <si>
    <t xml:space="preserve">Base ore macchina (con le 3.000 esterne) e base comoda delle unità; capitolo 6</t>
  </si>
  <si>
    <t xml:space="preserve">Coefficiente sulle 24.000 ore</t>
  </si>
  <si>
    <t xml:space="preserve">Coefficiente sulle sole 21.000 ore interne</t>
  </si>
  <si>
    <t xml:space="preserve">Coefficiente sulle 22.000 unità</t>
  </si>
  <si>
    <t xml:space="preserve">Impresa guida - ore contro unità</t>
  </si>
  <si>
    <t xml:space="preserve">Allocazione alle linee con le due basi e sovvenzione incrociata; capitolo 6</t>
  </si>
  <si>
    <t xml:space="preserve">Linea A - ore macchina</t>
  </si>
  <si>
    <t xml:space="preserve">Linea A - allocato sulle ore</t>
  </si>
  <si>
    <t xml:space="preserve">Linea A - per unità, sulle ore</t>
  </si>
  <si>
    <t xml:space="preserve">Linea A - allocato sulle unità</t>
  </si>
  <si>
    <t xml:space="preserve">Linea A - differenza, unità meno ore</t>
  </si>
  <si>
    <t xml:space="preserve">Linea B - ore macchina</t>
  </si>
  <si>
    <t xml:space="preserve">Linea B - allocato sulle ore</t>
  </si>
  <si>
    <t xml:space="preserve">Linea B - per unità, sulle ore</t>
  </si>
  <si>
    <t xml:space="preserve">Linea B - allocato sulle unità</t>
  </si>
  <si>
    <t xml:space="preserve">Linea B - differenza, unità meno ore</t>
  </si>
  <si>
    <t xml:space="preserve">Linea C - ore macchina</t>
  </si>
  <si>
    <t xml:space="preserve">Linea C - allocato sulle ore</t>
  </si>
  <si>
    <t xml:space="preserve">Linea C - per unità, sulle ore</t>
  </si>
  <si>
    <t xml:space="preserve">Linea C - allocato sulle unità</t>
  </si>
  <si>
    <t xml:space="preserve">Linea C - differenza, unità meno ore</t>
  </si>
  <si>
    <t xml:space="preserve">Totale allocato sulle ore</t>
  </si>
  <si>
    <t xml:space="preserve">Totale allocato sulle unità</t>
  </si>
  <si>
    <t xml:space="preserve">Totale differenza</t>
  </si>
  <si>
    <t xml:space="preserve">Per unità: C rispetto a B</t>
  </si>
  <si>
    <t xml:space="preserve">volte</t>
  </si>
  <si>
    <t xml:space="preserve">Configurazioni progressive di costo e costo pieno complessivo delle tre linee dell'impresa guida, riconciliato con il risultato operativo.</t>
  </si>
  <si>
    <t xml:space="preserve">Configurazioni progressive</t>
  </si>
  <si>
    <t xml:space="preserve">Costo primo, industriale e complessivo per strati; capitolo 7</t>
  </si>
  <si>
    <t xml:space="preserve">Materiali diretti</t>
  </si>
  <si>
    <t xml:space="preserve">capitolo 7</t>
  </si>
  <si>
    <t xml:space="preserve">Lavoro diretto</t>
  </si>
  <si>
    <t xml:space="preserve">Indiretti di produzione</t>
  </si>
  <si>
    <t xml:space="preserve">Commerciali e amministrativi</t>
  </si>
  <si>
    <t xml:space="preserve">Costo primo</t>
  </si>
  <si>
    <t xml:space="preserve">Costo industriale</t>
  </si>
  <si>
    <t xml:space="preserve">Costo complessivo</t>
  </si>
  <si>
    <t xml:space="preserve">Redditività a costo pieno</t>
  </si>
  <si>
    <t xml:space="preserve">Due prodotti: costo pieno e margine pieno unitario; capitolo 7</t>
  </si>
  <si>
    <t xml:space="preserve">Prodotto A - prezzo netto</t>
  </si>
  <si>
    <t xml:space="preserve">Prodotto A - costi diretti</t>
  </si>
  <si>
    <t xml:space="preserve">Prodotto A - indiretti allocati</t>
  </si>
  <si>
    <t xml:space="preserve">Prodotto A - costo pieno</t>
  </si>
  <si>
    <t xml:space="preserve">Prodotto A - margine pieno</t>
  </si>
  <si>
    <t xml:space="preserve">Prodotto B - prezzo netto</t>
  </si>
  <si>
    <t xml:space="preserve">Prodotto B - costi diretti</t>
  </si>
  <si>
    <t xml:space="preserve">Prodotto B - indiretti allocati</t>
  </si>
  <si>
    <t xml:space="preserve">Prodotto B - costo pieno</t>
  </si>
  <si>
    <t xml:space="preserve">Prodotto B - margine pieno</t>
  </si>
  <si>
    <t xml:space="preserve">Impresa guida - struttura da ripartire</t>
  </si>
  <si>
    <t xml:space="preserve">Struttura meno indiretti di produzione, ripartita in proporzione ai ricavi; capitolo 7</t>
  </si>
  <si>
    <t xml:space="preserve">Struttura da ripartire (con la capacità esterna)</t>
  </si>
  <si>
    <t xml:space="preserve">Quota di struttura linea A</t>
  </si>
  <si>
    <t xml:space="preserve">Quota di struttura linea B</t>
  </si>
  <si>
    <t xml:space="preserve">Quota di struttura linea C</t>
  </si>
  <si>
    <t xml:space="preserve">Totale quote di struttura</t>
  </si>
  <si>
    <t xml:space="preserve">Impresa guida - costo pieno per unità</t>
  </si>
  <si>
    <t xml:space="preserve">Strati per unità: costo variabile, indiretti sulle ore, quota di struttura; capitolo 7</t>
  </si>
  <si>
    <t xml:space="preserve">Linea A - indiretti di produzione</t>
  </si>
  <si>
    <t xml:space="preserve">Linea A - costo industriale</t>
  </si>
  <si>
    <t xml:space="preserve">Linea A - quota di struttura</t>
  </si>
  <si>
    <t xml:space="preserve">Linea A - costo pieno complessivo</t>
  </si>
  <si>
    <t xml:space="preserve">Linea A - risultato pieno per unità</t>
  </si>
  <si>
    <t xml:space="preserve">Linea B - indiretti di produzione</t>
  </si>
  <si>
    <t xml:space="preserve">Linea B - costo industriale</t>
  </si>
  <si>
    <t xml:space="preserve">Linea B - quota di struttura</t>
  </si>
  <si>
    <t xml:space="preserve">Linea B - costo pieno complessivo</t>
  </si>
  <si>
    <t xml:space="preserve">Linea B - risultato pieno per unità</t>
  </si>
  <si>
    <t xml:space="preserve">Linea C - indiretti di produzione</t>
  </si>
  <si>
    <t xml:space="preserve">Linea C - costo industriale</t>
  </si>
  <si>
    <t xml:space="preserve">Linea C - quota di struttura</t>
  </si>
  <si>
    <t xml:space="preserve">Linea C - costo pieno complessivo</t>
  </si>
  <si>
    <t xml:space="preserve">Linea C - risultato pieno per unità</t>
  </si>
  <si>
    <t xml:space="preserve">Impresa guida - risultati a costo pieno</t>
  </si>
  <si>
    <t xml:space="preserve">Risultati per linea sui valori non arrotondati e riconciliazione con il risultato operativo; capitolo 7</t>
  </si>
  <si>
    <t xml:space="preserve">Risultato a costo pieno linea A</t>
  </si>
  <si>
    <t xml:space="preserve">Risultato a costo pieno linea B</t>
  </si>
  <si>
    <t xml:space="preserve">Risultato a costo pieno linea C</t>
  </si>
  <si>
    <t xml:space="preserve">Somma dei risultati</t>
  </si>
  <si>
    <t xml:space="preserve">Controllo con il risultato operativo</t>
  </si>
  <si>
    <t xml:space="preserve">Linea C - prezzo netto meno costo industriale</t>
  </si>
  <si>
    <t xml:space="preserve">Impresa guida - costo pieno e costo evitabile</t>
  </si>
  <si>
    <t xml:space="preserve">Costi allocati a C che non scompaiono con la linea e risultato senza C nelle due ipotesi; capitolo 7</t>
  </si>
  <si>
    <t xml:space="preserve">Costi allocati alla linea C</t>
  </si>
  <si>
    <t xml:space="preserve">Risultato senza C, se tutta la struttura resta</t>
  </si>
  <si>
    <t xml:space="preserve">Ore macchina senza C</t>
  </si>
  <si>
    <t xml:space="preserve">Capacità esterna senza C</t>
  </si>
  <si>
    <t xml:space="preserve">Risultato senza C, ipotesi più favorevole</t>
  </si>
  <si>
    <t xml:space="preserve">Margine di contribuzione unitario, totale e percentuale, secondo margine e prospetto a margine dell'impresa guida per linea e per canale.</t>
  </si>
  <si>
    <t xml:space="preserve">Margine unitario e percentuale</t>
  </si>
  <si>
    <t xml:space="preserve">Tre prodotti: margine = prezzo - costo variabile e margine percentuale; capitolo 8</t>
  </si>
  <si>
    <t xml:space="preserve">Prodotto A - prezzo</t>
  </si>
  <si>
    <t xml:space="preserve">capitolo 8</t>
  </si>
  <si>
    <t xml:space="preserve">Prodotto A - costo variabile</t>
  </si>
  <si>
    <t xml:space="preserve">Prodotto A - margine</t>
  </si>
  <si>
    <t xml:space="preserve">Prodotto A - margine percentuale</t>
  </si>
  <si>
    <t xml:space="preserve">Prodotto B - prezzo</t>
  </si>
  <si>
    <t xml:space="preserve">Prodotto B - costo variabile</t>
  </si>
  <si>
    <t xml:space="preserve">Prodotto B - margine</t>
  </si>
  <si>
    <t xml:space="preserve">Prodotto B - margine percentuale</t>
  </si>
  <si>
    <t xml:space="preserve">Prodotto C - prezzo</t>
  </si>
  <si>
    <t xml:space="preserve">Prodotto C - costo variabile</t>
  </si>
  <si>
    <t xml:space="preserve">Prodotto C - margine</t>
  </si>
  <si>
    <t xml:space="preserve">Prodotto C - margine percentuale</t>
  </si>
  <si>
    <t xml:space="preserve">Conto Economico a margine</t>
  </si>
  <si>
    <t xml:space="preserve">Primo margine, secondo margine e risultato operativo; capitolo 8</t>
  </si>
  <si>
    <t xml:space="preserve">Ricavi</t>
  </si>
  <si>
    <t xml:space="preserve">Costi fissi specifici</t>
  </si>
  <si>
    <t xml:space="preserve">Costi fissi comuni</t>
  </si>
  <si>
    <t xml:space="preserve">Secondo margine</t>
  </si>
  <si>
    <t xml:space="preserve">Margini per cliente</t>
  </si>
  <si>
    <t xml:space="preserve">Cliente Z: margine di prodotto, dopo i costi di servizio e secondo margine; capitolo 8</t>
  </si>
  <si>
    <t xml:space="preserve">Ricavi netti</t>
  </si>
  <si>
    <t xml:space="preserve">Costi variabili prodotto</t>
  </si>
  <si>
    <t xml:space="preserve">Logistica, gestione dei resi e assistenza</t>
  </si>
  <si>
    <t xml:space="preserve">Margine di prodotto</t>
  </si>
  <si>
    <t xml:space="preserve">Margine dopo i costi variabili di servizio</t>
  </si>
  <si>
    <t xml:space="preserve">Impresa guida - prospetto a margine</t>
  </si>
  <si>
    <t xml:space="preserve">Ricavi, costi variabili, margine, struttura e risultato con le incidenze sui ricavi; capitolo 8</t>
  </si>
  <si>
    <t xml:space="preserve">di cui capacità aggiuntiva</t>
  </si>
  <si>
    <t xml:space="preserve">Margine di contribuzione su ricavi</t>
  </si>
  <si>
    <t xml:space="preserve">Costi variabili su ricavi</t>
  </si>
  <si>
    <t xml:space="preserve">Struttura su ricavi</t>
  </si>
  <si>
    <t xml:space="preserve">Risultato operativo su ricavi</t>
  </si>
  <si>
    <t xml:space="preserve">Somma delle incidenze arrotondate</t>
  </si>
  <si>
    <t xml:space="preserve">Impresa guida - primo margine per linea</t>
  </si>
  <si>
    <t xml:space="preserve">Ricavi, costi variabili, margine totale, percentuale e unitario per linea; capitolo 8</t>
  </si>
  <si>
    <t xml:space="preserve">Costi variabili linea A</t>
  </si>
  <si>
    <t xml:space="preserve">Costi variabili linea B</t>
  </si>
  <si>
    <t xml:space="preserve">Costi variabili linea C</t>
  </si>
  <si>
    <t xml:space="preserve">Margine linea A</t>
  </si>
  <si>
    <t xml:space="preserve">Margine linea B</t>
  </si>
  <si>
    <t xml:space="preserve">Margine linea C</t>
  </si>
  <si>
    <t xml:space="preserve">Margine totale</t>
  </si>
  <si>
    <t xml:space="preserve">Margine percentuale linea A</t>
  </si>
  <si>
    <t xml:space="preserve">Margine percentuale linea B</t>
  </si>
  <si>
    <t xml:space="preserve">Margine percentuale linea C</t>
  </si>
  <si>
    <t xml:space="preserve">Margine percentuale totale</t>
  </si>
  <si>
    <t xml:space="preserve">Margine unitario linea A</t>
  </si>
  <si>
    <t xml:space="preserve">Margine unitario linea B</t>
  </si>
  <si>
    <t xml:space="preserve">Margine unitario linea C</t>
  </si>
  <si>
    <t xml:space="preserve">Margine unitario più alto fra B e C</t>
  </si>
  <si>
    <t xml:space="preserve">Linea C</t>
  </si>
  <si>
    <t xml:space="preserve">Margine totale più alto fra B e C</t>
  </si>
  <si>
    <t xml:space="preserve">Linea B</t>
  </si>
  <si>
    <t xml:space="preserve">Impresa guida - primo margine per canale</t>
  </si>
  <si>
    <t xml:space="preserve">Margine e percentuale per canale, riconciliati con margine e risultato operativo; capitolo 8</t>
  </si>
  <si>
    <t xml:space="preserve">Canale diretto - margine</t>
  </si>
  <si>
    <t xml:space="preserve">Distributori - margine</t>
  </si>
  <si>
    <t xml:space="preserve">Canale diretto - margine percentuale</t>
  </si>
  <si>
    <t xml:space="preserve">Distributori - margine percentuale</t>
  </si>
  <si>
    <t xml:space="preserve">Somma dei margini dei canali</t>
  </si>
  <si>
    <t xml:space="preserve">Controllo con il margine per linea</t>
  </si>
  <si>
    <t xml:space="preserve">Risultato operativo dai canali</t>
  </si>
  <si>
    <t xml:space="preserve">Canale diretto con il mix dell'impresa</t>
  </si>
  <si>
    <t xml:space="preserve">Margine percentuale ai prezzi di listino con le quantità dell'impresa; capitolo 8</t>
  </si>
  <si>
    <t xml:space="preserve">Listino linea A</t>
  </si>
  <si>
    <t xml:space="preserve">Listino linea B</t>
  </si>
  <si>
    <t xml:space="preserve">Listino linea C</t>
  </si>
  <si>
    <t xml:space="preserve">Ricavi a listino con il mix dell'impresa</t>
  </si>
  <si>
    <t xml:space="preserve">Margine a listino con il mix dell'impresa</t>
  </si>
  <si>
    <t xml:space="preserve">Margine percentuale a listino</t>
  </si>
  <si>
    <t xml:space="preserve">Pareggio in unità e fatturato, utile obiettivo, margine di sicurezza, leva operativa, mix e sensibilità, poi il pareggio a tratti dell'impresa guida.</t>
  </si>
  <si>
    <t xml:space="preserve">Pareggio in unità - esempio base</t>
  </si>
  <si>
    <t xml:space="preserve">Pareggio con prezzo 100, costo variabile 60 e costi fissi 200.000, con la verifica al pareggio; capitolo 9</t>
  </si>
  <si>
    <t xml:space="preserve">Prezzo unitario</t>
  </si>
  <si>
    <t xml:space="preserve">capitolo 9</t>
  </si>
  <si>
    <t xml:space="preserve">Costi fissi</t>
  </si>
  <si>
    <t xml:space="preserve">Margine di contribuzione unitario</t>
  </si>
  <si>
    <t xml:space="preserve">Pareggio in unità</t>
  </si>
  <si>
    <t xml:space="preserve">Ricavi al pareggio</t>
  </si>
  <si>
    <t xml:space="preserve">Costi variabili al pareggio</t>
  </si>
  <si>
    <t xml:space="preserve">Margine al pareggio</t>
  </si>
  <si>
    <t xml:space="preserve">Risultato al pareggio</t>
  </si>
  <si>
    <t xml:space="preserve">Arrotondamento per eccesso</t>
  </si>
  <si>
    <t xml:space="preserve">Con margine 35 la divisione non è intera: a 5.714 unità si è ancora in perdita, il pareggio è 5.715; capitolo 9</t>
  </si>
  <si>
    <t xml:space="preserve">Margine unitario dell'esempio</t>
  </si>
  <si>
    <t xml:space="preserve">Costi fissi / margine (non arrotondato)</t>
  </si>
  <si>
    <t xml:space="preserve">Unità arrotondate per difetto</t>
  </si>
  <si>
    <t xml:space="preserve">Margine totale a 5.714 unità</t>
  </si>
  <si>
    <t xml:space="preserve">Risultato a 5.714 unità</t>
  </si>
  <si>
    <t xml:space="preserve">Pareggio in unità (per eccesso)</t>
  </si>
  <si>
    <t xml:space="preserve">Risultato a 5.715 unità</t>
  </si>
  <si>
    <t xml:space="preserve">Pareggio in fatturato</t>
  </si>
  <si>
    <t xml:space="preserve">Pareggio espresso in fatturato con il margine percentuale; capitolo 9</t>
  </si>
  <si>
    <t xml:space="preserve">Margine percentuale</t>
  </si>
  <si>
    <t xml:space="preserve">Fatturato di pareggio</t>
  </si>
  <si>
    <t xml:space="preserve">Utile obiettivo</t>
  </si>
  <si>
    <t xml:space="preserve">Volume per un utile obiettivo, anche partendo da un utile netto dopo imposte; capitolo 9</t>
  </si>
  <si>
    <t xml:space="preserve">Utile obiettivo (risultato operativo)</t>
  </si>
  <si>
    <t xml:space="preserve">Volume per utile obiettivo</t>
  </si>
  <si>
    <t xml:space="preserve">Utile netto desiderato</t>
  </si>
  <si>
    <t xml:space="preserve">Aliquota prevista</t>
  </si>
  <si>
    <t xml:space="preserve">Risultato operativo necessario</t>
  </si>
  <si>
    <t xml:space="preserve">Volume per l'utile netto</t>
  </si>
  <si>
    <t xml:space="preserve">Margine di sicurezza</t>
  </si>
  <si>
    <t xml:space="preserve">Quanto possono calare le vendite prima del pareggio; capitolo 9</t>
  </si>
  <si>
    <t xml:space="preserve">Vendite previste</t>
  </si>
  <si>
    <t xml:space="preserve">Margine di sicurezza percentuale</t>
  </si>
  <si>
    <t xml:space="preserve">Leva operativa</t>
  </si>
  <si>
    <t xml:space="preserve">Grado di leva operativa, anche sull'esempio del pareggio a 6.500 unità; capitolo 9</t>
  </si>
  <si>
    <t xml:space="preserve">Margine di contribuzione (esempio)</t>
  </si>
  <si>
    <t xml:space="preserve">Risultato operativo (esempio)</t>
  </si>
  <si>
    <t xml:space="preserve">Grado di leva operativa</t>
  </si>
  <si>
    <t xml:space="preserve">Unità alle vendite previste</t>
  </si>
  <si>
    <t xml:space="preserve">Margine alle vendite previste</t>
  </si>
  <si>
    <t xml:space="preserve">Risultato alle vendite previste</t>
  </si>
  <si>
    <t xml:space="preserve">Grado di leva a 6.500 unità</t>
  </si>
  <si>
    <t xml:space="preserve">Inverso del margine di sicurezza %</t>
  </si>
  <si>
    <t xml:space="preserve">Mix di vendita</t>
  </si>
  <si>
    <t xml:space="preserve">Pareggio multiprodotto con un pacchetto di 2 A e 1 B; capitolo 9</t>
  </si>
  <si>
    <t xml:space="preserve">Margine unitario A</t>
  </si>
  <si>
    <t xml:space="preserve">Margine unitario B</t>
  </si>
  <si>
    <t xml:space="preserve">Unità di A nel pacchetto</t>
  </si>
  <si>
    <t xml:space="preserve">unità/pacchetto</t>
  </si>
  <si>
    <t xml:space="preserve">Unità di B nel pacchetto</t>
  </si>
  <si>
    <t xml:space="preserve">Margine del mix - A</t>
  </si>
  <si>
    <t xml:space="preserve">euro/pacchetto</t>
  </si>
  <si>
    <t xml:space="preserve">Margine del mix - B</t>
  </si>
  <si>
    <t xml:space="preserve">Margine del pacchetto</t>
  </si>
  <si>
    <t xml:space="preserve">Pacchetti di pareggio</t>
  </si>
  <si>
    <t xml:space="preserve">pacchetti</t>
  </si>
  <si>
    <t xml:space="preserve">Unità di A al pareggio</t>
  </si>
  <si>
    <t xml:space="preserve">Unità di B al pareggio</t>
  </si>
  <si>
    <t xml:space="preserve">Sensibilità del pareggio</t>
  </si>
  <si>
    <t xml:space="preserve">Come si sposta il pareggio se cambiano costo variabile, prezzo o costi fissi; capitolo 9</t>
  </si>
  <si>
    <t xml:space="preserve">Aumento del costo variabile</t>
  </si>
  <si>
    <t xml:space="preserve">Aumento del prezzo</t>
  </si>
  <si>
    <t xml:space="preserve">Aumento dei costi fissi</t>
  </si>
  <si>
    <t xml:space="preserve">Margine con costo variabile + 5</t>
  </si>
  <si>
    <t xml:space="preserve">Pareggio con costo variabile + 5</t>
  </si>
  <si>
    <t xml:space="preserve">Margine con prezzo + 5</t>
  </si>
  <si>
    <t xml:space="preserve">Pareggio con prezzo + 5 (non arrotondato)</t>
  </si>
  <si>
    <t xml:space="preserve">Pareggio con prezzo + 5</t>
  </si>
  <si>
    <t xml:space="preserve">Pareggio con costi fissi + 30.000</t>
  </si>
  <si>
    <t xml:space="preserve">Break-even in una decisione reale</t>
  </si>
  <si>
    <t xml:space="preserve">Nuovo servizio: pareggio e risultato a capacità massima, poi con prezzo 70; capitolo 9</t>
  </si>
  <si>
    <t xml:space="preserve">Costi fissi annuali</t>
  </si>
  <si>
    <t xml:space="preserve">Prezzo medio</t>
  </si>
  <si>
    <t xml:space="preserve">Capacità massima</t>
  </si>
  <si>
    <t xml:space="preserve">Margine unitario</t>
  </si>
  <si>
    <t xml:space="preserve">Pareggio in prestazioni</t>
  </si>
  <si>
    <t xml:space="preserve">Risultato a capacità massima</t>
  </si>
  <si>
    <t xml:space="preserve">Prezzo medio ridotto</t>
  </si>
  <si>
    <t xml:space="preserve">Margine con prezzo 70</t>
  </si>
  <si>
    <t xml:space="preserve">Pareggio con prezzo 70</t>
  </si>
  <si>
    <t xml:space="preserve">Risultato massimo con prezzo 70</t>
  </si>
  <si>
    <t xml:space="preserve">Impresa guida - pareggio in fatturato</t>
  </si>
  <si>
    <t xml:space="preserve">Pareggio sulla struttura base e verifica che cada sotto la soglia delle 21.000 ore; capitolo 9</t>
  </si>
  <si>
    <t xml:space="preserve">Margine percentuale a domanda piena</t>
  </si>
  <si>
    <t xml:space="preserve">Fatturato alla soglia di 21.000 ore</t>
  </si>
  <si>
    <t xml:space="preserve">Pareggio rispetto alla soglia</t>
  </si>
  <si>
    <t xml:space="preserve">Sotto la soglia: calcolo coerente</t>
  </si>
  <si>
    <t xml:space="preserve">Impresa guida - pacchetto di vendita</t>
  </si>
  <si>
    <t xml:space="preserve">Pareggio in unità con il pacchetto 4 A, 6 B, 1 C; capitolo 9</t>
  </si>
  <si>
    <t xml:space="preserve">Unità di C nel pacchetto</t>
  </si>
  <si>
    <t xml:space="preserve">Margine unitario C</t>
  </si>
  <si>
    <t xml:space="preserve">Pacchetti a domanda piena</t>
  </si>
  <si>
    <t xml:space="preserve">Margine dei pacchetti a domanda piena</t>
  </si>
  <si>
    <t xml:space="preserve">Pacchetti necessari (non arrotondati)</t>
  </si>
  <si>
    <t xml:space="preserve">Risultato con 1.386 pacchetti</t>
  </si>
  <si>
    <t xml:space="preserve">Risultato con 1.387 pacchetti</t>
  </si>
  <si>
    <t xml:space="preserve">Ricavi di un pacchetto</t>
  </si>
  <si>
    <t xml:space="preserve">Fatturato dei pacchetti di pareggio</t>
  </si>
  <si>
    <t xml:space="preserve">Unità di C al pareggio</t>
  </si>
  <si>
    <t xml:space="preserve">Ore al pareggio</t>
  </si>
  <si>
    <t xml:space="preserve">Impresa guida - sicurezza e leva</t>
  </si>
  <si>
    <t xml:space="preserve">Margine di sicurezza, leva al netto del costo orario esterno e prova con un calo dell'1%; capitolo 9</t>
  </si>
  <si>
    <t xml:space="preserve">Margine al netto del costo orario esterno</t>
  </si>
  <si>
    <t xml:space="preserve">Leva operativa sopra soglia</t>
  </si>
  <si>
    <t xml:space="preserve">Leva trattando 820.000 come fissi (non utilizzabile)</t>
  </si>
  <si>
    <t xml:space="preserve">Calo massimo del fatturato sopra soglia</t>
  </si>
  <si>
    <t xml:space="preserve">Calo del fatturato ipotizzato</t>
  </si>
  <si>
    <t xml:space="preserve">Calo del margine</t>
  </si>
  <si>
    <t xml:space="preserve">Calo delle ore</t>
  </si>
  <si>
    <t xml:space="preserve">Ore esterne risparmiate</t>
  </si>
  <si>
    <t xml:space="preserve">Calo del risultato</t>
  </si>
  <si>
    <t xml:space="preserve">Calo percentuale del risultato</t>
  </si>
  <si>
    <t xml:space="preserve">Le due fasi dell'ABC sull'esempio illustrativo, il TDABC, il confronto con il sistema tradizionale e il modello per canale dell'impresa guida.</t>
  </si>
  <si>
    <t xml:space="preserve">Risorse da ripartire</t>
  </si>
  <si>
    <t xml:space="preserve">Le quattro risorse che alimentano le attività dell'esempio illustrativo; capitolo 10</t>
  </si>
  <si>
    <t xml:space="preserve">Personale indiretto</t>
  </si>
  <si>
    <t xml:space="preserve">capitolo 10</t>
  </si>
  <si>
    <t xml:space="preserve">Ammortamenti e manutenzioni attrezzature</t>
  </si>
  <si>
    <t xml:space="preserve">Sistemi informativi</t>
  </si>
  <si>
    <t xml:space="preserve">Metri quadrati occupati</t>
  </si>
  <si>
    <t xml:space="preserve">metri quadrati</t>
  </si>
  <si>
    <t xml:space="preserve">Costo per metro quadrato</t>
  </si>
  <si>
    <t xml:space="preserve">euro/metro quadrato</t>
  </si>
  <si>
    <t xml:space="preserve">Spazi</t>
  </si>
  <si>
    <t xml:space="preserve">Totale risorse</t>
  </si>
  <si>
    <t xml:space="preserve">Prima fase - personale e attrezzature</t>
  </si>
  <si>
    <t xml:space="preserve">Ripartizione di personale (quote di tempo) e attrezzature (utilizzo) sulle attività; capitolo 10</t>
  </si>
  <si>
    <t xml:space="preserve">Personale - quota attrezzaggi</t>
  </si>
  <si>
    <t xml:space="preserve">Personale - quota gestione ordini</t>
  </si>
  <si>
    <t xml:space="preserve">Personale - quota controllo qualità</t>
  </si>
  <si>
    <t xml:space="preserve">Personale - quota assistenza</t>
  </si>
  <si>
    <t xml:space="preserve">Personale - a attrezzaggi</t>
  </si>
  <si>
    <t xml:space="preserve">Personale - a gestione ordini</t>
  </si>
  <si>
    <t xml:space="preserve">Personale - a controllo qualità</t>
  </si>
  <si>
    <t xml:space="preserve">Personale - a assistenza</t>
  </si>
  <si>
    <t xml:space="preserve">Personale - totale ripartito</t>
  </si>
  <si>
    <t xml:space="preserve">Attrezzature - quota attrezzaggi</t>
  </si>
  <si>
    <t xml:space="preserve">Attrezzature - quota gestione ordini</t>
  </si>
  <si>
    <t xml:space="preserve">Attrezzature - quota controllo qualità</t>
  </si>
  <si>
    <t xml:space="preserve">Attrezzature - quota assistenza</t>
  </si>
  <si>
    <t xml:space="preserve">Attrezzature - a attrezzaggi</t>
  </si>
  <si>
    <t xml:space="preserve">Attrezzature - a gestione ordini</t>
  </si>
  <si>
    <t xml:space="preserve">Attrezzature - a controllo qualità</t>
  </si>
  <si>
    <t xml:space="preserve">Attrezzature - a assistenza</t>
  </si>
  <si>
    <t xml:space="preserve">Attrezzature - totale ripartito</t>
  </si>
  <si>
    <t xml:space="preserve">Prima fase - sistemi e spazi</t>
  </si>
  <si>
    <t xml:space="preserve">Ripartizione di sistemi (transazioni) e spazi (metri quadrati) sulle attività; capitolo 10</t>
  </si>
  <si>
    <t xml:space="preserve">Sistemi - quota attrezzaggi</t>
  </si>
  <si>
    <t xml:space="preserve">Sistemi - quota gestione ordini</t>
  </si>
  <si>
    <t xml:space="preserve">Sistemi - quota controllo qualità</t>
  </si>
  <si>
    <t xml:space="preserve">Sistemi - quota assistenza</t>
  </si>
  <si>
    <t xml:space="preserve">Sistemi - a attrezzaggi</t>
  </si>
  <si>
    <t xml:space="preserve">Sistemi - a gestione ordini</t>
  </si>
  <si>
    <t xml:space="preserve">Sistemi - a controllo qualità</t>
  </si>
  <si>
    <t xml:space="preserve">Sistemi - a assistenza</t>
  </si>
  <si>
    <t xml:space="preserve">Sistemi - totale ripartito</t>
  </si>
  <si>
    <t xml:space="preserve">Spazi - metri quadrati attrezzaggi</t>
  </si>
  <si>
    <t xml:space="preserve">Spazi - metri quadrati gestione ordini</t>
  </si>
  <si>
    <t xml:space="preserve">Spazi - metri quadrati controllo qualità</t>
  </si>
  <si>
    <t xml:space="preserve">Spazi - metri quadrati assistenza</t>
  </si>
  <si>
    <t xml:space="preserve">Spazi - a attrezzaggi</t>
  </si>
  <si>
    <t xml:space="preserve">Spazi - a gestione ordini</t>
  </si>
  <si>
    <t xml:space="preserve">Spazi - a controllo qualità</t>
  </si>
  <si>
    <t xml:space="preserve">Spazi - a assistenza</t>
  </si>
  <si>
    <t xml:space="preserve">Spazi - totale ripartito</t>
  </si>
  <si>
    <t xml:space="preserve">Metri quadrati ripartiti meno totale</t>
  </si>
  <si>
    <t xml:space="preserve">Pool di attività e tariffe</t>
  </si>
  <si>
    <t xml:space="preserve">Somma dei pool, quadratura con le risorse e tariffe della seconda fase; capitolo 10</t>
  </si>
  <si>
    <t xml:space="preserve">Pool attrezzaggi</t>
  </si>
  <si>
    <t xml:space="preserve">Pool gestione ordini</t>
  </si>
  <si>
    <t xml:space="preserve">Pool controllo qualità</t>
  </si>
  <si>
    <t xml:space="preserve">Pool assistenza</t>
  </si>
  <si>
    <t xml:space="preserve">Totale pool</t>
  </si>
  <si>
    <t xml:space="preserve">Pool meno risorse (quadratura)</t>
  </si>
  <si>
    <t xml:space="preserve">Volume driver attrezzaggi</t>
  </si>
  <si>
    <t xml:space="preserve">attrezzaggi</t>
  </si>
  <si>
    <t xml:space="preserve">Volume driver gestione ordini</t>
  </si>
  <si>
    <t xml:space="preserve">Volume driver controllo qualità</t>
  </si>
  <si>
    <t xml:space="preserve">controlli</t>
  </si>
  <si>
    <t xml:space="preserve">Volume driver assistenza</t>
  </si>
  <si>
    <t xml:space="preserve">Tariffa attrezzaggi</t>
  </si>
  <si>
    <t xml:space="preserve">euro/attrezzaggio</t>
  </si>
  <si>
    <t xml:space="preserve">Tariffa gestione ordini</t>
  </si>
  <si>
    <t xml:space="preserve">euro/ordine</t>
  </si>
  <si>
    <t xml:space="preserve">Tariffa controllo qualità</t>
  </si>
  <si>
    <t xml:space="preserve">euro/controllo</t>
  </si>
  <si>
    <t xml:space="preserve">Tariffa assistenza</t>
  </si>
  <si>
    <t xml:space="preserve">Quota delle risorse ripartita con i tempi del personale</t>
  </si>
  <si>
    <t xml:space="preserve">Esempio di calcolo ABC</t>
  </si>
  <si>
    <t xml:space="preserve">Attrezzaggi attribuiti ai prodotti A e B con la tariffa di 300 euro; capitolo 10</t>
  </si>
  <si>
    <t xml:space="preserve">Attrezzaggi del prodotto A</t>
  </si>
  <si>
    <t xml:space="preserve">Attrezzaggi del prodotto B</t>
  </si>
  <si>
    <t xml:space="preserve">Costo attribuito ad A</t>
  </si>
  <si>
    <t xml:space="preserve">Costo attribuito a B</t>
  </si>
  <si>
    <t xml:space="preserve">Resto agli altri prodotti</t>
  </si>
  <si>
    <t xml:space="preserve">Time-Driven ABC</t>
  </si>
  <si>
    <t xml:space="preserve">Costo per minuto della capacità pratica e costo di un ordine standard e complesso; capitolo 10</t>
  </si>
  <si>
    <t xml:space="preserve">Costo del team</t>
  </si>
  <si>
    <t xml:space="preserve">Minuti di capacità pratica</t>
  </si>
  <si>
    <t xml:space="preserve">minuti</t>
  </si>
  <si>
    <t xml:space="preserve">Costo per minuto</t>
  </si>
  <si>
    <t xml:space="preserve">euro/minuto</t>
  </si>
  <si>
    <t xml:space="preserve">Minuti ordine standard</t>
  </si>
  <si>
    <t xml:space="preserve">minuti/ordine</t>
  </si>
  <si>
    <t xml:space="preserve">Costo ordine standard</t>
  </si>
  <si>
    <t xml:space="preserve">Minuti aggiuntivi ordine complesso</t>
  </si>
  <si>
    <t xml:space="preserve">Minuti ordine complesso</t>
  </si>
  <si>
    <t xml:space="preserve">Costo ordine complesso</t>
  </si>
  <si>
    <t xml:space="preserve">Tradizionale e ABC a confronto</t>
  </si>
  <si>
    <t xml:space="preserve">300.000 euro di indiretti: ore macchina contro tre pool; capitolo 10</t>
  </si>
  <si>
    <t xml:space="preserve">Costi indiretti</t>
  </si>
  <si>
    <t xml:space="preserve">Quota ore macchina di A</t>
  </si>
  <si>
    <t xml:space="preserve">Tradizionale - A</t>
  </si>
  <si>
    <t xml:space="preserve">Tradizionale - B</t>
  </si>
  <si>
    <t xml:space="preserve">Pool ore macchina</t>
  </si>
  <si>
    <t xml:space="preserve">Pool ordini</t>
  </si>
  <si>
    <t xml:space="preserve">Quota attrezzaggi di A</t>
  </si>
  <si>
    <t xml:space="preserve">Quota ordini di A</t>
  </si>
  <si>
    <t xml:space="preserve">ABC - A ore macchina</t>
  </si>
  <si>
    <t xml:space="preserve">ABC - A attrezzaggi</t>
  </si>
  <si>
    <t xml:space="preserve">ABC - A ordini</t>
  </si>
  <si>
    <t xml:space="preserve">ABC - A totale</t>
  </si>
  <si>
    <t xml:space="preserve">ABC - B ore macchina</t>
  </si>
  <si>
    <t xml:space="preserve">ABC - B attrezzaggi</t>
  </si>
  <si>
    <t xml:space="preserve">ABC - B ordini</t>
  </si>
  <si>
    <t xml:space="preserve">ABC - B totale</t>
  </si>
  <si>
    <t xml:space="preserve">Differenza A</t>
  </si>
  <si>
    <t xml:space="preserve">Differenza B</t>
  </si>
  <si>
    <t xml:space="preserve">Differenza totale</t>
  </si>
  <si>
    <t xml:space="preserve">Impresa guida - prima fase</t>
  </si>
  <si>
    <t xml:space="preserve">Pool di gestione ordini, consegne e assistenza tecnica dai conti del partitario e costi fuori modello; capitolo 10</t>
  </si>
  <si>
    <t xml:space="preserve">Retribuzioni ufficio ordini</t>
  </si>
  <si>
    <t xml:space="preserve">Sistemi di gestione ordini</t>
  </si>
  <si>
    <t xml:space="preserve">Trasporti su vendite</t>
  </si>
  <si>
    <t xml:space="preserve">Personale di spedizione</t>
  </si>
  <si>
    <t xml:space="preserve">Pool consegne</t>
  </si>
  <si>
    <t xml:space="preserve">Retribuzioni tecnici</t>
  </si>
  <si>
    <t xml:space="preserve">Ricambi e trasferte</t>
  </si>
  <si>
    <t xml:space="preserve">Pool assistenza tecnica</t>
  </si>
  <si>
    <t xml:space="preserve">Pool meno attività commerciali e logistiche</t>
  </si>
  <si>
    <t xml:space="preserve">Costi fuori modello</t>
  </si>
  <si>
    <t xml:space="preserve">Pool più costi fuori modello</t>
  </si>
  <si>
    <t xml:space="preserve">Impresa guida - tariffe</t>
  </si>
  <si>
    <t xml:space="preserve">Seconda fase: volumi dei driver, tariffe e capacità inutilizzata; capitolo 10</t>
  </si>
  <si>
    <t xml:space="preserve">Ordini</t>
  </si>
  <si>
    <t xml:space="preserve">Ore di assistenza</t>
  </si>
  <si>
    <t xml:space="preserve">Tariffa per ordine</t>
  </si>
  <si>
    <t xml:space="preserve">Tariffa per consegna</t>
  </si>
  <si>
    <t xml:space="preserve">euro/consegna</t>
  </si>
  <si>
    <t xml:space="preserve">Tariffa per ora di assistenza</t>
  </si>
  <si>
    <t xml:space="preserve">Capacità inutilizzata</t>
  </si>
  <si>
    <t xml:space="preserve">Zero: per ipotesi la capacità pratica coincide con i volumi rilevati (capitolo 10)</t>
  </si>
  <si>
    <t xml:space="preserve">Impresa guida - costo per canale</t>
  </si>
  <si>
    <t xml:space="preserve">ABC contro allocazione in proporzione ai ricavi per canale diretto e distributori; capitolo 10</t>
  </si>
  <si>
    <t xml:space="preserve">Ricavi canale diretto</t>
  </si>
  <si>
    <t xml:space="preserve">Ricavi canale distributori</t>
  </si>
  <si>
    <t xml:space="preserve">Diretto - ordini</t>
  </si>
  <si>
    <t xml:space="preserve">Diretto - consegne</t>
  </si>
  <si>
    <t xml:space="preserve">Diretto - ore assistenza</t>
  </si>
  <si>
    <t xml:space="preserve">Distributori - ordini</t>
  </si>
  <si>
    <t xml:space="preserve">Distributori - consegne</t>
  </si>
  <si>
    <t xml:space="preserve">Distributori - ore assistenza</t>
  </si>
  <si>
    <t xml:space="preserve">Diretto - costo allocato sui ricavi</t>
  </si>
  <si>
    <t xml:space="preserve">Distributori - costo allocato sui ricavi</t>
  </si>
  <si>
    <t xml:space="preserve">Diretto - costo ABC</t>
  </si>
  <si>
    <t xml:space="preserve">Distributori - costo ABC</t>
  </si>
  <si>
    <t xml:space="preserve">Totale costo ABC</t>
  </si>
  <si>
    <t xml:space="preserve">Diretto - differenza</t>
  </si>
  <si>
    <t xml:space="preserve">Distributori - differenza</t>
  </si>
  <si>
    <t xml:space="preserve">Impresa guida - lettura dei canali</t>
  </si>
  <si>
    <t xml:space="preserve">Quote del canale diretto sui driver e ricavo medio per ordine; capitolo 10</t>
  </si>
  <si>
    <t xml:space="preserve">Diretto - quota dei ricavi</t>
  </si>
  <si>
    <t xml:space="preserve">Diretto - quota degli ordini</t>
  </si>
  <si>
    <t xml:space="preserve">Diretto - quota delle consegne</t>
  </si>
  <si>
    <t xml:space="preserve">Diretto - quota delle ore di assistenza</t>
  </si>
  <si>
    <t xml:space="preserve">Diretto - ricavo medio per ordine</t>
  </si>
  <si>
    <t xml:space="preserve">Distributori - ricavo medio per ordine</t>
  </si>
  <si>
    <t xml:space="preserve">Capacità fornita e utilizzata, costo di servizio dei clienti X e Y e leve che separano la minore spesa dalla capacità liberata.</t>
  </si>
  <si>
    <t xml:space="preserve">Capacità fornita e utilizzata</t>
  </si>
  <si>
    <t xml:space="preserve">Team che può gestire 10.000 ordini e ne gestisce 8.000; capitolo 11</t>
  </si>
  <si>
    <t xml:space="preserve">Ordini gestibili (capacità fornita)</t>
  </si>
  <si>
    <t xml:space="preserve">capitolo 11</t>
  </si>
  <si>
    <t xml:space="preserve">Ordini gestiti (capacità utilizzata)</t>
  </si>
  <si>
    <t xml:space="preserve">Quota di capacità inutilizzata</t>
  </si>
  <si>
    <t xml:space="preserve">Impresa guida - natura dei pool</t>
  </si>
  <si>
    <t xml:space="preserve">Parte di ciascun pool che varia con il driver e parte che è costo di capacità; capitolo 11</t>
  </si>
  <si>
    <t xml:space="preserve">Gestione ordini - costo variabile per ordine</t>
  </si>
  <si>
    <t xml:space="preserve">Gestione ordini - costo di capacità</t>
  </si>
  <si>
    <t xml:space="preserve">Consegne - trasporti per consegna</t>
  </si>
  <si>
    <t xml:space="preserve">Consegne - personale per consegna (capacità)</t>
  </si>
  <si>
    <t xml:space="preserve">Variabile più capacità meno tariffa</t>
  </si>
  <si>
    <t xml:space="preserve">Assistenza - costo di capacità</t>
  </si>
  <si>
    <t xml:space="preserve">Assistenza - ricambi e trasferte</t>
  </si>
  <si>
    <t xml:space="preserve">32.000 euro variano con le ore di intervento tecnico, non con tutte le 7.500 ore (capitolo 11)</t>
  </si>
  <si>
    <t xml:space="preserve">Impresa guida - clienti X e Y</t>
  </si>
  <si>
    <t xml:space="preserve">Costo di servizio a tariffa e margine cliente di CL-014 e CL-027; capitolo 11</t>
  </si>
  <si>
    <t xml:space="preserve">Ricavi di ciascun cliente</t>
  </si>
  <si>
    <t xml:space="preserve">Margine di prodotto di ciascun cliente</t>
  </si>
  <si>
    <t xml:space="preserve">X - ordini</t>
  </si>
  <si>
    <t xml:space="preserve">X - consegne</t>
  </si>
  <si>
    <t xml:space="preserve">X - ore di assistenza</t>
  </si>
  <si>
    <t xml:space="preserve">X - costo di servizio</t>
  </si>
  <si>
    <t xml:space="preserve">X - margine cliente</t>
  </si>
  <si>
    <t xml:space="preserve">X - margine cliente %</t>
  </si>
  <si>
    <t xml:space="preserve">Y - ordini</t>
  </si>
  <si>
    <t xml:space="preserve">Y - consegne</t>
  </si>
  <si>
    <t xml:space="preserve">Y - ore di assistenza</t>
  </si>
  <si>
    <t xml:space="preserve">Y - costo di servizio</t>
  </si>
  <si>
    <t xml:space="preserve">Y - margine cliente</t>
  </si>
  <si>
    <t xml:space="preserve">Y - margine cliente %</t>
  </si>
  <si>
    <t xml:space="preserve">Impresa guida - leve su X</t>
  </si>
  <si>
    <t xml:space="preserve">Ordini da 600 a 300 e consegne da 300 a 24: riduzione a tariffa, minore spesa e capacità liberata; capitolo 11</t>
  </si>
  <si>
    <t xml:space="preserve">X - ordini dopo la leva</t>
  </si>
  <si>
    <t xml:space="preserve">X - consegne dopo la leva</t>
  </si>
  <si>
    <t xml:space="preserve">X - ore dopo la leva (invariate)</t>
  </si>
  <si>
    <t xml:space="preserve">Ordini in meno</t>
  </si>
  <si>
    <t xml:space="preserve">Consegne in meno</t>
  </si>
  <si>
    <t xml:space="preserve">Ore in meno</t>
  </si>
  <si>
    <t xml:space="preserve">Ordini - riduzione a tariffa</t>
  </si>
  <si>
    <t xml:space="preserve">Ordini - minore spesa</t>
  </si>
  <si>
    <t xml:space="preserve">Ordini - capacità liberata</t>
  </si>
  <si>
    <t xml:space="preserve">Consegne - riduzione a tariffa</t>
  </si>
  <si>
    <t xml:space="preserve">Consegne - minore spesa</t>
  </si>
  <si>
    <t xml:space="preserve">Consegne - capacità liberata</t>
  </si>
  <si>
    <t xml:space="preserve">Assistenza - riduzione a tariffa</t>
  </si>
  <si>
    <t xml:space="preserve">Assistenza - minore spesa</t>
  </si>
  <si>
    <t xml:space="preserve">Assistenza - capacità liberata</t>
  </si>
  <si>
    <t xml:space="preserve">Totale riduzione a tariffa</t>
  </si>
  <si>
    <t xml:space="preserve">Totale minore spesa</t>
  </si>
  <si>
    <t xml:space="preserve">Totale capacità liberata</t>
  </si>
  <si>
    <t xml:space="preserve">Impresa guida - X dopo le leve</t>
  </si>
  <si>
    <t xml:space="preserve">Costo di servizio e margine di X a tariffa e ciò che il Conto Economico registra subito; capitolo 11</t>
  </si>
  <si>
    <t xml:space="preserve">X - costo di servizio dopo le leve</t>
  </si>
  <si>
    <t xml:space="preserve">X - margine cliente dopo le leve</t>
  </si>
  <si>
    <t xml:space="preserve">X - margine cliente % dopo le leve</t>
  </si>
  <si>
    <t xml:space="preserve">Risparmio registrato subito nel Conto Economico</t>
  </si>
  <si>
    <t xml:space="preserve">Capacità liberata da ridurre o reimpiegare</t>
  </si>
  <si>
    <t xml:space="preserve">Il budget dell'impresa guida dall'esercizio corrente, separato in run rate, driver e iniziative, con la sensibilità sul recupero di prezzo della linea B.</t>
  </si>
  <si>
    <t xml:space="preserve">Esercizio corrente (run rate)</t>
  </si>
  <si>
    <t xml:space="preserve">Valori di chiusura dell'esercizio corrente dal foglio Impresa_guida; capitolo 12, tabella</t>
  </si>
  <si>
    <t xml:space="preserve">Risultato operativo esercizio corrente</t>
  </si>
  <si>
    <t xml:space="preserve">capitolo 12</t>
  </si>
  <si>
    <t xml:space="preserve">Margine unitario corrente linea A</t>
  </si>
  <si>
    <t xml:space="preserve">capitolo 14</t>
  </si>
  <si>
    <t xml:space="preserve">Margine unitario corrente linea B</t>
  </si>
  <si>
    <t xml:space="preserve">Margine unitario corrente linea C</t>
  </si>
  <si>
    <t xml:space="preserve">Proposta commerciale di budget</t>
  </si>
  <si>
    <t xml:space="preserve">Volumi e prezzi proposti dalla direzione commerciale; costi variabili, tempi di ciclo e struttura base invariati; capitolo 12</t>
  </si>
  <si>
    <t xml:space="preserve">Linea A - unità di budget</t>
  </si>
  <si>
    <t xml:space="preserve">Linea A - prezzo di budget</t>
  </si>
  <si>
    <t xml:space="preserve">Linea B - unità di budget</t>
  </si>
  <si>
    <t xml:space="preserve">Linea B - prezzo di budget</t>
  </si>
  <si>
    <t xml:space="preserve">Linea C - unità di budget (obiettivo da verificare)</t>
  </si>
  <si>
    <t xml:space="preserve">Linea C - prezzo di budget</t>
  </si>
  <si>
    <t xml:space="preserve">Budget a margine dell'esercizio</t>
  </si>
  <si>
    <t xml:space="preserve">Ricavi, margine, ore, capacità esterna e risultato del budget; capitolo 12, capitolo 13</t>
  </si>
  <si>
    <t xml:space="preserve">Unità vendute di budget</t>
  </si>
  <si>
    <t xml:space="preserve">capitolo 13</t>
  </si>
  <si>
    <t xml:space="preserve">Ricavi di budget</t>
  </si>
  <si>
    <t xml:space="preserve">Costi variabili di budget</t>
  </si>
  <si>
    <t xml:space="preserve">Margine di contribuzione di budget</t>
  </si>
  <si>
    <t xml:space="preserve">Ore macchina di budget</t>
  </si>
  <si>
    <t xml:space="preserve">capitolo 12, capitolo 13</t>
  </si>
  <si>
    <t xml:space="preserve">Costi della struttura di budget</t>
  </si>
  <si>
    <t xml:space="preserve">Risultato operativo di budget</t>
  </si>
  <si>
    <t xml:space="preserve">Miglioramento rispetto all'esercizio corrente</t>
  </si>
  <si>
    <t xml:space="preserve">Run rate, driver e iniziative</t>
  </si>
  <si>
    <t xml:space="preserve">Scomposizione del miglioramento in run rate, driver di volume e iniziativa di prezzo; capitolo 12, tabella</t>
  </si>
  <si>
    <t xml:space="preserve">Driver: volume linea B</t>
  </si>
  <si>
    <t xml:space="preserve">Driver: volume linea C</t>
  </si>
  <si>
    <t xml:space="preserve">Iniziativa: recupero di prezzo linea B</t>
  </si>
  <si>
    <t xml:space="preserve">Variazione costi della struttura</t>
  </si>
  <si>
    <t xml:space="preserve">Ore liberate dalla linea B</t>
  </si>
  <si>
    <t xml:space="preserve">Ore assorbite dalle unità aggiuntive di C</t>
  </si>
  <si>
    <t xml:space="preserve">Budget ricostruito dal ponte</t>
  </si>
  <si>
    <t xml:space="preserve">Controllo ponte contro budget</t>
  </si>
  <si>
    <t xml:space="preserve">Quadra</t>
  </si>
  <si>
    <t xml:space="preserve">Sensibilità sull'iniziativa</t>
  </si>
  <si>
    <t xml:space="preserve">Risultato senza iniziativa e con recupero di prezzo da luglio (ipotesi del caso); capitolo 12</t>
  </si>
  <si>
    <t xml:space="preserve">Risultato senza l'iniziativa</t>
  </si>
  <si>
    <t xml:space="preserve">Differenza dall'esercizio corrente</t>
  </si>
  <si>
    <t xml:space="preserve">Quota dei volumi di B nel secondo semestre</t>
  </si>
  <si>
    <t xml:space="preserve">Unità di B da luglio</t>
  </si>
  <si>
    <t xml:space="preserve">Beneficio con avvio a luglio</t>
  </si>
  <si>
    <t xml:space="preserve">Risultato con avvio a luglio</t>
  </si>
  <si>
    <t xml:space="preserve">Dalle vendite a produzione, ore, capacità e cassa: gli esempi del capitolo e il budget operativo dell'impresa guida, annuale e di marzo.</t>
  </si>
  <si>
    <t xml:space="preserve">Programma delle vendite (esempio)</t>
  </si>
  <si>
    <t xml:space="preserve">Ricavi = quantità x prezzo per due prodotti generici, non le linee dell'impresa guida; capitolo 13</t>
  </si>
  <si>
    <t xml:space="preserve">Prodotto A - quantità</t>
  </si>
  <si>
    <t xml:space="preserve">Prodotto A - prezzo medio</t>
  </si>
  <si>
    <t xml:space="preserve">Prodotto B - quantità</t>
  </si>
  <si>
    <t xml:space="preserve">Prodotto B - prezzo medio</t>
  </si>
  <si>
    <t xml:space="preserve">Ricavi prodotto A</t>
  </si>
  <si>
    <t xml:space="preserve">Ricavi prodotto B</t>
  </si>
  <si>
    <t xml:space="preserve">Quantità totale</t>
  </si>
  <si>
    <t xml:space="preserve">Produzione, materiali e lavoro (esempio)</t>
  </si>
  <si>
    <t xml:space="preserve">Produzione = vendite + scorte finali - scorte iniziali; fabbisogno materiali e ore; capitolo 13</t>
  </si>
  <si>
    <t xml:space="preserve">Scorta finale desiderata</t>
  </si>
  <si>
    <t xml:space="preserve">Scorta iniziale</t>
  </si>
  <si>
    <t xml:space="preserve">Produzione</t>
  </si>
  <si>
    <t xml:space="preserve">Consumo standard per unità (kg)</t>
  </si>
  <si>
    <t xml:space="preserve">kg/unità</t>
  </si>
  <si>
    <t xml:space="preserve">Fabbisogno di materiale (kg)</t>
  </si>
  <si>
    <t xml:space="preserve">kg</t>
  </si>
  <si>
    <t xml:space="preserve">Tempo standard per unità</t>
  </si>
  <si>
    <t xml:space="preserve">Ore di lavoro diretto necessarie</t>
  </si>
  <si>
    <t xml:space="preserve">Dal volume alla cassa (esempio)</t>
  </si>
  <si>
    <t xml:space="preserve">Margine del mese e incasso del mese di vendita; capitolo 13</t>
  </si>
  <si>
    <t xml:space="preserve">Unità vendute nel mese</t>
  </si>
  <si>
    <t xml:space="preserve">Prezzo</t>
  </si>
  <si>
    <t xml:space="preserve">Costo variabile industriale unitario</t>
  </si>
  <si>
    <t xml:space="preserve">Spese variabili commerciali su ricavi</t>
  </si>
  <si>
    <t xml:space="preserve">Quota incassata nel mese</t>
  </si>
  <si>
    <t xml:space="preserve">Costi variabili industriali</t>
  </si>
  <si>
    <t xml:space="preserve">Spese variabili commerciali</t>
  </si>
  <si>
    <t xml:space="preserve">Incassi del mese di vendita</t>
  </si>
  <si>
    <t xml:space="preserve">Budget operativo annuale per linea</t>
  </si>
  <si>
    <t xml:space="preserve">Produzione con scorte finali uguali alle iniziali e ore per linea; ricavi e capacità dal capitolo 12; capitolo 13, tabella</t>
  </si>
  <si>
    <t xml:space="preserve">Scorte finali meno iniziali (ipotesi del caso)</t>
  </si>
  <si>
    <t xml:space="preserve">Produzione linea A</t>
  </si>
  <si>
    <t xml:space="preserve">Produzione linea B</t>
  </si>
  <si>
    <t xml:space="preserve">Produzione linea C</t>
  </si>
  <si>
    <t xml:space="preserve">Produzione totale</t>
  </si>
  <si>
    <t xml:space="preserve">Ore macchina linea A</t>
  </si>
  <si>
    <t xml:space="preserve">Ore macchina linea B</t>
  </si>
  <si>
    <t xml:space="preserve">Ore macchina linea C</t>
  </si>
  <si>
    <t xml:space="preserve">Controllo ore contro capitolo 12</t>
  </si>
  <si>
    <t xml:space="preserve">Ricavi di budget (capitolo 12)</t>
  </si>
  <si>
    <t xml:space="preserve">Costi della struttura (capitolo 12)</t>
  </si>
  <si>
    <t xml:space="preserve">Budget di marzo e capacità mensile</t>
  </si>
  <si>
    <t xml:space="preserve">Catena dal volume alla capacità sul mese di marzo, scorte invariate; capitolo 13 e paragrafo 19.5</t>
  </si>
  <si>
    <t xml:space="preserve">Capacità ordinaria mensile</t>
  </si>
  <si>
    <t xml:space="preserve">Marzo - unità linea A</t>
  </si>
  <si>
    <t xml:space="preserve">Marzo - unità linea B</t>
  </si>
  <si>
    <t xml:space="preserve">Marzo - unità linea C</t>
  </si>
  <si>
    <t xml:space="preserve">Marzo - unità vendute e prodotte</t>
  </si>
  <si>
    <t xml:space="preserve">Marzo - ricavi di budget</t>
  </si>
  <si>
    <t xml:space="preserve">Marzo - ore linea A</t>
  </si>
  <si>
    <t xml:space="preserve">Marzo - ore linea B</t>
  </si>
  <si>
    <t xml:space="preserve">Marzo - ore linea C</t>
  </si>
  <si>
    <t xml:space="preserve">Marzo - ore macchina richieste</t>
  </si>
  <si>
    <t xml:space="preserve">Marzo - ore da acquistare all'esterno</t>
  </si>
  <si>
    <t xml:space="preserve">Marzo - costo della capacità esterna</t>
  </si>
  <si>
    <t xml:space="preserve">Marzo - struttura base (calendario di budget)</t>
  </si>
  <si>
    <t xml:space="preserve">Marzo - costi della struttura</t>
  </si>
  <si>
    <t xml:space="preserve">Politica di scorta: 100 unità di C in più</t>
  </si>
  <si>
    <t xml:space="preserve">Effetti di una scorta finale di C superiore di 100 unità, lettura a margine; capitolo 13</t>
  </si>
  <si>
    <t xml:space="preserve">Aumento della scorta di C (ipotesi del caso)</t>
  </si>
  <si>
    <t xml:space="preserve">Produzione di C</t>
  </si>
  <si>
    <t xml:space="preserve">Ore macchina</t>
  </si>
  <si>
    <t xml:space="preserve">Ore esterne</t>
  </si>
  <si>
    <t xml:space="preserve">Capacità esterna in più</t>
  </si>
  <si>
    <t xml:space="preserve">Costi variabili delle 100 unità</t>
  </si>
  <si>
    <t xml:space="preserve">Uscita di cassa prima della vendita</t>
  </si>
  <si>
    <t xml:space="preserve">Risultato operativo a margine</t>
  </si>
  <si>
    <t xml:space="preserve">Politica di scorta: lettura a costo pieno</t>
  </si>
  <si>
    <t xml:space="preserve">Costo industriale delle 100 unità, costi fissi rinviati e riconciliazione con il prospetto a margine (coefficiente del capitolo 7); capitolo 13</t>
  </si>
  <si>
    <t xml:space="preserve">Costi indiretti di produzione per ora macchina</t>
  </si>
  <si>
    <t xml:space="preserve">Costi indiretti per unità di C</t>
  </si>
  <si>
    <t xml:space="preserve">Costo industriale unitario di C</t>
  </si>
  <si>
    <t xml:space="preserve">Valore delle 100 unità a costo industriale</t>
  </si>
  <si>
    <t xml:space="preserve">Costi fissi trattenuti in magazzino</t>
  </si>
  <si>
    <t xml:space="preserve">Risultato operativo a costo pieno</t>
  </si>
  <si>
    <t xml:space="preserve">Costi indiretti assorbiti a 24.300 ore</t>
  </si>
  <si>
    <t xml:space="preserve">Sovrassorbimento</t>
  </si>
  <si>
    <t xml:space="preserve">Verifica del doppio conteggio</t>
  </si>
  <si>
    <t xml:space="preserve">La capacità esterna entra una sola volta nei costi della struttura; errore se sommata due volte; capitolo 13</t>
  </si>
  <si>
    <t xml:space="preserve">Struttura con capacità esterna contata due volte</t>
  </si>
  <si>
    <t xml:space="preserve">Risultato con il doppio conteggio</t>
  </si>
  <si>
    <t xml:space="preserve">Cassa del budget</t>
  </si>
  <si>
    <t xml:space="preserve">Raccordo dal risultato operativo al flusso di cassa, con crediti e debiti invariati e investimenti pari agli ammortamenti; capitolo 13</t>
  </si>
  <si>
    <t xml:space="preserve">Ammortamento degli impianti</t>
  </si>
  <si>
    <t xml:space="preserve">Crediti verso clienti a inizio esercizio</t>
  </si>
  <si>
    <t xml:space="preserve">Crediti verso clienti a fine esercizio (invariati nel budget)</t>
  </si>
  <si>
    <t xml:space="preserve">Debiti verso fornitori a inizio esercizio</t>
  </si>
  <si>
    <t xml:space="preserve">Debiti verso fornitori a fine esercizio (invariati nel budget)</t>
  </si>
  <si>
    <t xml:space="preserve">Variazione delle scorte in euro (scorte invariate)</t>
  </si>
  <si>
    <t xml:space="preserve">Variazione di crediti, scorte e debiti</t>
  </si>
  <si>
    <t xml:space="preserve">Flusso di cassa operativo</t>
  </si>
  <si>
    <t xml:space="preserve">Investimenti, pari agli ammortamenti</t>
  </si>
  <si>
    <t xml:space="preserve">Flusso dopo gli investimenti</t>
  </si>
  <si>
    <t xml:space="preserve">Ricavi di marzo in dodicesimi (non usare)</t>
  </si>
  <si>
    <t xml:space="preserve">Struttura base di marzo in dodicesimi (non usare)</t>
  </si>
  <si>
    <t xml:space="preserve">Un giorno di vendite nei crediti</t>
  </si>
  <si>
    <t xml:space="preserve">Flusso operativo con 100 unità di C a scorta</t>
  </si>
  <si>
    <t xml:space="preserve">Riduzione del flusso</t>
  </si>
  <si>
    <t xml:space="preserve">Budget flessibile e scostamenti: il caso completo del capitolo e il ponte di marzo dell'impresa guida, a margine e a costo pieno.</t>
  </si>
  <si>
    <t xml:space="preserve">Budget flessibile dei materiali (esempio)</t>
  </si>
  <si>
    <t xml:space="preserve">Budget statico, flessibile e consuntivo del costo dei materiali; capitolo 14</t>
  </si>
  <si>
    <t xml:space="preserve">Unità di budget</t>
  </si>
  <si>
    <t xml:space="preserve">Unità effettive</t>
  </si>
  <si>
    <t xml:space="preserve">Costo standard materiale per unità</t>
  </si>
  <si>
    <t xml:space="preserve">Costo materiali consuntivo</t>
  </si>
  <si>
    <t xml:space="preserve">Budget statico materiali</t>
  </si>
  <si>
    <t xml:space="preserve">Budget flessibile materiali</t>
  </si>
  <si>
    <t xml:space="preserve">Effetto volume (non F né S)</t>
  </si>
  <si>
    <t xml:space="preserve">Scostamento operativo (maggior costo, S)</t>
  </si>
  <si>
    <t xml:space="preserve">Confronto diretto statico-consuntivo</t>
  </si>
  <si>
    <t xml:space="preserve">Ponte del risultato (esempio)</t>
  </si>
  <si>
    <t xml:space="preserve">Dal risultato di budget al consuntivo per effetti, come impatto sul risultato; capitolo 14, tabella</t>
  </si>
  <si>
    <t xml:space="preserve">Risultato di budget</t>
  </si>
  <si>
    <t xml:space="preserve">Volume</t>
  </si>
  <si>
    <t xml:space="preserve">Mix</t>
  </si>
  <si>
    <t xml:space="preserve">Materiali</t>
  </si>
  <si>
    <t xml:space="preserve">Efficienza</t>
  </si>
  <si>
    <t xml:space="preserve">Struttura</t>
  </si>
  <si>
    <t xml:space="preserve">Risultato consuntivo</t>
  </si>
  <si>
    <t xml:space="preserve">Caso completo: dati</t>
  </si>
  <si>
    <t xml:space="preserve">Standard di budget e consuntivo; unità e costo standard materiale dal primo blocco; capitolo 14</t>
  </si>
  <si>
    <t xml:space="preserve">Prezzo di budget</t>
  </si>
  <si>
    <t xml:space="preserve">Kg standard per unità</t>
  </si>
  <si>
    <t xml:space="preserve">Prezzo standard per kg</t>
  </si>
  <si>
    <t xml:space="preserve">Ore standard per unità</t>
  </si>
  <si>
    <t xml:space="preserve">Tariffa standard</t>
  </si>
  <si>
    <t xml:space="preserve">Costi fissi di budget</t>
  </si>
  <si>
    <t xml:space="preserve">Prezzo effettivo</t>
  </si>
  <si>
    <t xml:space="preserve">Kg consumati</t>
  </si>
  <si>
    <t xml:space="preserve">Prezzo effettivo per kg</t>
  </si>
  <si>
    <t xml:space="preserve">Ore lavorate</t>
  </si>
  <si>
    <t xml:space="preserve">Tariffa effettiva</t>
  </si>
  <si>
    <t xml:space="preserve">Costi fissi effettivi</t>
  </si>
  <si>
    <t xml:space="preserve">Margine unitario di budget</t>
  </si>
  <si>
    <t xml:space="preserve">Caso completo: statico, flessibile, consuntivo</t>
  </si>
  <si>
    <t xml:space="preserve">I tre prospetti affiancati; capitolo 14</t>
  </si>
  <si>
    <t xml:space="preserve">Ricavi - budget statico</t>
  </si>
  <si>
    <t xml:space="preserve">Lavoro diretto - budget statico</t>
  </si>
  <si>
    <t xml:space="preserve">Margine - budget statico</t>
  </si>
  <si>
    <t xml:space="preserve">Risultato - budget statico</t>
  </si>
  <si>
    <t xml:space="preserve">Ricavi - budget flessibile</t>
  </si>
  <si>
    <t xml:space="preserve">Lavoro diretto - budget flessibile</t>
  </si>
  <si>
    <t xml:space="preserve">Margine - budget flessibile</t>
  </si>
  <si>
    <t xml:space="preserve">Risultato - budget flessibile</t>
  </si>
  <si>
    <t xml:space="preserve">Ricavi - consuntivo</t>
  </si>
  <si>
    <t xml:space="preserve">Materiali - consuntivo</t>
  </si>
  <si>
    <t xml:space="preserve">Lavoro diretto - consuntivo</t>
  </si>
  <si>
    <t xml:space="preserve">Margine - consuntivo</t>
  </si>
  <si>
    <t xml:space="preserve">Risultato - consuntivo</t>
  </si>
  <si>
    <t xml:space="preserve">Caso completo: scostamenti</t>
  </si>
  <si>
    <t xml:space="preserve">Ogni scostamento come impatto sul risultato; capitolo 14, tabella</t>
  </si>
  <si>
    <t xml:space="preserve">Kg standard ammessi</t>
  </si>
  <si>
    <t xml:space="preserve">Ore standard ammesse</t>
  </si>
  <si>
    <t xml:space="preserve">Prezzo di vendita</t>
  </si>
  <si>
    <t xml:space="preserve">Prezzo materiali</t>
  </si>
  <si>
    <t xml:space="preserve">Impiego materiali</t>
  </si>
  <si>
    <t xml:space="preserve">Tariffa lavoro</t>
  </si>
  <si>
    <t xml:space="preserve">Efficienza lavoro</t>
  </si>
  <si>
    <t xml:space="preserve">Spesa costi fissi</t>
  </si>
  <si>
    <t xml:space="preserve">Totale scostamenti</t>
  </si>
  <si>
    <t xml:space="preserve">Controllo: totale = consuntivo - statico</t>
  </si>
  <si>
    <t xml:space="preserve">Effetti sottratti al volume</t>
  </si>
  <si>
    <t xml:space="preserve">Impresa guida: marzo, budget e consuntivo</t>
  </si>
  <si>
    <t xml:space="preserve">Budget di marzo (dal capitolo 13) e consuntivo; margini unitari di budget; capitolo 14, paragrafo 19.5</t>
  </si>
  <si>
    <t xml:space="preserve">Margine unitario di budget A</t>
  </si>
  <si>
    <t xml:space="preserve">Margine unitario di budget B</t>
  </si>
  <si>
    <t xml:space="preserve">Margine unitario di budget C</t>
  </si>
  <si>
    <t xml:space="preserve">Budget marzo - margine</t>
  </si>
  <si>
    <t xml:space="preserve">Budget marzo - risultato operativo</t>
  </si>
  <si>
    <t xml:space="preserve">Consuntivo marzo - unità A</t>
  </si>
  <si>
    <t xml:space="preserve">Consuntivo marzo - unità B</t>
  </si>
  <si>
    <t xml:space="preserve">Consuntivo marzo - unità C</t>
  </si>
  <si>
    <t xml:space="preserve">Consuntivo marzo - prezzo B</t>
  </si>
  <si>
    <t xml:space="preserve">Consuntivo marzo - costo variabile A</t>
  </si>
  <si>
    <t xml:space="preserve">Consuntivo marzo - costo variabile B</t>
  </si>
  <si>
    <t xml:space="preserve">Consuntivo marzo - costo variabile C</t>
  </si>
  <si>
    <t xml:space="preserve">Consuntivo marzo - costo capacità esterna</t>
  </si>
  <si>
    <t xml:space="preserve">Consuntivo marzo - struttura base</t>
  </si>
  <si>
    <t xml:space="preserve">Consuntivo marzo - unità</t>
  </si>
  <si>
    <t xml:space="preserve">Consuntivo marzo - ricavi</t>
  </si>
  <si>
    <t xml:space="preserve">Consuntivo marzo - margine</t>
  </si>
  <si>
    <t xml:space="preserve">Consuntivo marzo - costi della struttura</t>
  </si>
  <si>
    <t xml:space="preserve">Consuntivo marzo - risultato operativo</t>
  </si>
  <si>
    <t xml:space="preserve">Scostamento del risultato</t>
  </si>
  <si>
    <t xml:space="preserve">Scostamento del margine</t>
  </si>
  <si>
    <t xml:space="preserve">paragrafo 19.5</t>
  </si>
  <si>
    <t xml:space="preserve">Margine percentuale di budget</t>
  </si>
  <si>
    <t xml:space="preserve">Margine percentuale consuntivo</t>
  </si>
  <si>
    <t xml:space="preserve">Marzo: budget flessibile, quantità e mix</t>
  </si>
  <si>
    <t xml:space="preserve">Budget flessibile ai volumi effettivi e scomposizione dell'effetto attività in quantità e mix; capitolo 14</t>
  </si>
  <si>
    <t xml:space="preserve">Budget flessibile - ricavi</t>
  </si>
  <si>
    <t xml:space="preserve">Budget flessibile - costi variabili</t>
  </si>
  <si>
    <t xml:space="preserve">Budget flessibile - margine</t>
  </si>
  <si>
    <t xml:space="preserve">Effetto dell'attività</t>
  </si>
  <si>
    <t xml:space="preserve">Margine unitario medio di budget</t>
  </si>
  <si>
    <t xml:space="preserve">Volumi effettivi al margine medio</t>
  </si>
  <si>
    <t xml:space="preserve">Effetto quantità</t>
  </si>
  <si>
    <t xml:space="preserve">Mix linea A</t>
  </si>
  <si>
    <t xml:space="preserve">Mix linea B</t>
  </si>
  <si>
    <t xml:space="preserve">Mix linea C</t>
  </si>
  <si>
    <t xml:space="preserve">Effetto mix</t>
  </si>
  <si>
    <t xml:space="preserve">Controllo: mix = flessibile - volumi al margine medio</t>
  </si>
  <si>
    <t xml:space="preserve">Marzo: prezzo, costo variabile e capacità esterna</t>
  </si>
  <si>
    <t xml:space="preserve">Effetto prezzo, costo variabile unitario e capacità esterna scomposta in attività, spesa ed efficienza; capitolo 14</t>
  </si>
  <si>
    <t xml:space="preserve">Effetto prezzo</t>
  </si>
  <si>
    <t xml:space="preserve">Effetto costo variabile unitario</t>
  </si>
  <si>
    <t xml:space="preserve">Ore esterne a volumi effettivi</t>
  </si>
  <si>
    <t xml:space="preserve">Costo flessibile della capacità esterna</t>
  </si>
  <si>
    <t xml:space="preserve">Ore rilevate</t>
  </si>
  <si>
    <t xml:space="preserve">Ore acquistate all'esterno</t>
  </si>
  <si>
    <t xml:space="preserve">Scostamento capacità esterna (favorevole)</t>
  </si>
  <si>
    <t xml:space="preserve">di cui attività</t>
  </si>
  <si>
    <t xml:space="preserve">Ore rilevate sotto lo standard</t>
  </si>
  <si>
    <t xml:space="preserve">Scarto percentuale delle ore</t>
  </si>
  <si>
    <t xml:space="preserve">Tariffa effettiva capacità esterna</t>
  </si>
  <si>
    <t xml:space="preserve">Scostamento di spesa</t>
  </si>
  <si>
    <t xml:space="preserve">Scostamento di efficienza (costo)</t>
  </si>
  <si>
    <t xml:space="preserve">Attività + spesa + efficienza (favorevole)</t>
  </si>
  <si>
    <t xml:space="preserve">Marzo: ponte del risultato e ponte dei ricavi</t>
  </si>
  <si>
    <t xml:space="preserve">Ogni effetto come impatto sul risultato; il ponte dei ricavi è separato e non si somma; capitolo 14</t>
  </si>
  <si>
    <t xml:space="preserve">Struttura base (impatto)</t>
  </si>
  <si>
    <t xml:space="preserve">Totale ponte del risultato</t>
  </si>
  <si>
    <t xml:space="preserve">Controllo: ponte = scostamento del risultato</t>
  </si>
  <si>
    <t xml:space="preserve">Ricavi: volume linea B</t>
  </si>
  <si>
    <t xml:space="preserve">Ricavi: volume linea C</t>
  </si>
  <si>
    <t xml:space="preserve">Ricavi: volume linea A</t>
  </si>
  <si>
    <t xml:space="preserve">Ponte dei ricavi</t>
  </si>
  <si>
    <t xml:space="preserve">Controllo: ponte = ricavi consuntivo - budget</t>
  </si>
  <si>
    <t xml:space="preserve">Marzo: lettura a costo pieno</t>
  </si>
  <si>
    <t xml:space="preserve">Scostamento di volume dei costi indiretti di produzione a 5,00 euro per ora (capitolo 7, coefficiente calcolato nel foglio Cap_13) e riconciliazione con la lettura a margine; capitolo 14</t>
  </si>
  <si>
    <t xml:space="preserve">Costi indiretti assorbiti a budget</t>
  </si>
  <si>
    <t xml:space="preserve">Assorbiti linea A</t>
  </si>
  <si>
    <t xml:space="preserve">Assorbiti linea B</t>
  </si>
  <si>
    <t xml:space="preserve">Assorbiti linea C</t>
  </si>
  <si>
    <t xml:space="preserve">Assorbiti ai volumi effettivi</t>
  </si>
  <si>
    <t xml:space="preserve">Scostamento di volume (solo costo pieno)</t>
  </si>
  <si>
    <t xml:space="preserve">Margine industriale unitario A</t>
  </si>
  <si>
    <t xml:space="preserve">Margine industriale unitario B</t>
  </si>
  <si>
    <t xml:space="preserve">Margine industriale unitario C</t>
  </si>
  <si>
    <t xml:space="preserve">Effetto attività a costo pieno</t>
  </si>
  <si>
    <t xml:space="preserve">Effetto complessivo dei volumi</t>
  </si>
  <si>
    <t xml:space="preserve">Controllo: stesso effetto nelle due letture</t>
  </si>
  <si>
    <t xml:space="preserve">Azione sul prezzo e previsione di chiusura</t>
  </si>
  <si>
    <t xml:space="preserve">Effetto atteso della misura sugli sconti di B e divario della previsione di chiusura (paragrafi 19.2 e 19.5); capitolo 14</t>
  </si>
  <si>
    <t xml:space="preserve">Quota trimestrale dei volumi di budget di B</t>
  </si>
  <si>
    <t xml:space="preserve">Recupero di prezzo netto medio</t>
  </si>
  <si>
    <t xml:space="preserve">Unità di B nel trimestre aprile-giugno</t>
  </si>
  <si>
    <t xml:space="preserve">Effetto atteso nel trimestre</t>
  </si>
  <si>
    <t xml:space="preserve">Previsione di chiusura del risultato operativo</t>
  </si>
  <si>
    <t xml:space="preserve">Divario dal budget</t>
  </si>
  <si>
    <t xml:space="preserve">Risultato differenziale, VAN e TIR, punti di indifferenza e le tre alternative per la linea C dell'impresa guida.</t>
  </si>
  <si>
    <t xml:space="preserve">Risultato differenziale di un ordine aggiuntivo</t>
  </si>
  <si>
    <t xml:space="preserve">Ricavi differenziali meno costi differenziali; ammortamenti e struttura esistente restano fuori; capitolo 15</t>
  </si>
  <si>
    <t xml:space="preserve">Ricavi dell'ordine</t>
  </si>
  <si>
    <t xml:space="preserve">capitolo 15</t>
  </si>
  <si>
    <t xml:space="preserve">Materiali e lavorazioni</t>
  </si>
  <si>
    <t xml:space="preserve">Trasporto dedicato</t>
  </si>
  <si>
    <t xml:space="preserve">Straordinari</t>
  </si>
  <si>
    <t xml:space="preserve">Risultato differenziale</t>
  </si>
  <si>
    <t xml:space="preserve">VAN dell'impianto con scorte aggiuntive</t>
  </si>
  <si>
    <t xml:space="preserve">Flussi differenziali per anno, fattori all'8%, VAN e TIR; ammortamenti esclusi; capitolo 15</t>
  </si>
  <si>
    <t xml:space="preserve">Costo dell'impianto</t>
  </si>
  <si>
    <t xml:space="preserve">Riduzione annua dei costi operativi</t>
  </si>
  <si>
    <t xml:space="preserve">Scorte aggiuntive (pagate all'avvio, recuperate alla fine)</t>
  </si>
  <si>
    <t xml:space="preserve">Valore di cessione al quinto anno</t>
  </si>
  <si>
    <t xml:space="preserve">Tasso richiesto</t>
  </si>
  <si>
    <t xml:space="preserve">Flusso anno 0</t>
  </si>
  <si>
    <t xml:space="preserve">Flusso anno 1</t>
  </si>
  <si>
    <t xml:space="preserve">Flusso anno 2</t>
  </si>
  <si>
    <t xml:space="preserve">Flusso anno 3</t>
  </si>
  <si>
    <t xml:space="preserve">Flusso anno 4</t>
  </si>
  <si>
    <t xml:space="preserve">Flusso anno 5</t>
  </si>
  <si>
    <t xml:space="preserve">Fattore di attualizzazione anno 1</t>
  </si>
  <si>
    <t xml:space="preserve">Fattore di attualizzazione anno 2</t>
  </si>
  <si>
    <t xml:space="preserve">Fattore di attualizzazione anno 3</t>
  </si>
  <si>
    <t xml:space="preserve">Fattore di attualizzazione anno 4</t>
  </si>
  <si>
    <t xml:space="preserve">Fattore di attualizzazione anno 5</t>
  </si>
  <si>
    <t xml:space="preserve">Valore attuale anno 1</t>
  </si>
  <si>
    <t xml:space="preserve">Valore attuale anno 2</t>
  </si>
  <si>
    <t xml:space="preserve">Valore attuale anno 3</t>
  </si>
  <si>
    <t xml:space="preserve">Valore attuale anno 4</t>
  </si>
  <si>
    <t xml:space="preserve">Valore attuale anno 5</t>
  </si>
  <si>
    <t xml:space="preserve">VAN</t>
  </si>
  <si>
    <t xml:space="preserve">Somma dei valori attuali arrotondati all'euro</t>
  </si>
  <si>
    <t xml:space="preserve">TIR</t>
  </si>
  <si>
    <t xml:space="preserve">VAN senza le scorte aggiuntive</t>
  </si>
  <si>
    <t xml:space="preserve">Stessi flussi senza capitale circolante: il costo delle scorte è la differenza fra i due VAN; capitolo 15</t>
  </si>
  <si>
    <t xml:space="preserve">Flusso anno 0 senza scorte</t>
  </si>
  <si>
    <t xml:space="preserve">Flusso anno 1 senza scorte</t>
  </si>
  <si>
    <t xml:space="preserve">Flusso anno 2 senza scorte</t>
  </si>
  <si>
    <t xml:space="preserve">Flusso anno 3 senza scorte</t>
  </si>
  <si>
    <t xml:space="preserve">Flusso anno 4 senza scorte</t>
  </si>
  <si>
    <t xml:space="preserve">Flusso anno 5 senza scorte</t>
  </si>
  <si>
    <t xml:space="preserve">VAN senza scorte</t>
  </si>
  <si>
    <t xml:space="preserve">TIR senza scorte</t>
  </si>
  <si>
    <t xml:space="preserve">Costo delle scorte in valore attuale</t>
  </si>
  <si>
    <t xml:space="preserve">Punto di indifferenza fra due alternative</t>
  </si>
  <si>
    <t xml:space="preserve">Differenza costi fissi / differenza costi variabili unitari; capitolo 15</t>
  </si>
  <si>
    <t xml:space="preserve">Alternativa A - costi fissi</t>
  </si>
  <si>
    <t xml:space="preserve">Alternativa A - costo variabile unitario</t>
  </si>
  <si>
    <t xml:space="preserve">Alternativa B - costi fissi</t>
  </si>
  <si>
    <t xml:space="preserve">Alternativa B - costo variabile unitario</t>
  </si>
  <si>
    <t xml:space="preserve">Differenza costi fissi</t>
  </si>
  <si>
    <t xml:space="preserve">Vantaggio variabile di B</t>
  </si>
  <si>
    <t xml:space="preserve">Punto di indifferenza</t>
  </si>
  <si>
    <t xml:space="preserve">Alternativa preferibile al volume atteso</t>
  </si>
  <si>
    <t xml:space="preserve">B</t>
  </si>
  <si>
    <t xml:space="preserve">Eliminare un prodotto</t>
  </si>
  <si>
    <t xml:space="preserve">Margine perso contro costi fissi evitabili; i costi comuni allocati restano; capitolo 15</t>
  </si>
  <si>
    <t xml:space="preserve">Margine del prodotto</t>
  </si>
  <si>
    <t xml:space="preserve">Costi fissi specifici evitabili</t>
  </si>
  <si>
    <t xml:space="preserve">Costi comuni allocati che restano</t>
  </si>
  <si>
    <t xml:space="preserve">Contributo alla struttura comune (riduzione del risultato se eliminato)</t>
  </si>
  <si>
    <t xml:space="preserve">Risultato pieno del prodotto</t>
  </si>
  <si>
    <t xml:space="preserve">Impresa guida - la linea C nel prospetto a costo pieno</t>
  </si>
  <si>
    <t xml:space="preserve">Quote allocate alla linea C nel prospetto del capitolo 7 e quota della capacità esterna; capitolo 15</t>
  </si>
  <si>
    <t xml:space="preserve">Coefficiente costi indiretti per ora macchina</t>
  </si>
  <si>
    <t xml:space="preserve">capitolo 16</t>
  </si>
  <si>
    <t xml:space="preserve">Costi indiretti di produzione allocati a C</t>
  </si>
  <si>
    <t xml:space="preserve">Struttura ripartita sui ricavi a C</t>
  </si>
  <si>
    <t xml:space="preserve">Risultato pieno della linea C</t>
  </si>
  <si>
    <t xml:space="preserve">Totale allocato alla linea C</t>
  </si>
  <si>
    <t xml:space="preserve">Quota della capacità esterna assegnata a C</t>
  </si>
  <si>
    <t xml:space="preserve">Ammortamento impianti di reparto (costo sommerso)</t>
  </si>
  <si>
    <t xml:space="preserve">Impresa guida - margine per ora macchina</t>
  </si>
  <si>
    <t xml:space="preserve">Margine unitario e margine per ora di ogni linea; ore richieste da A e B; capitolo 15</t>
  </si>
  <si>
    <t xml:space="preserve">Linea A - margine unitario</t>
  </si>
  <si>
    <t xml:space="preserve">Linea A - margine per ora</t>
  </si>
  <si>
    <t xml:space="preserve">Linea B - margine unitario</t>
  </si>
  <si>
    <t xml:space="preserve">Linea B - margine per ora</t>
  </si>
  <si>
    <t xml:space="preserve">Linea C - margine unitario</t>
  </si>
  <si>
    <t xml:space="preserve">Linea C - margine per ora</t>
  </si>
  <si>
    <t xml:space="preserve">Ore richieste dalla linea A</t>
  </si>
  <si>
    <t xml:space="preserve">Ore richieste dalla linea B</t>
  </si>
  <si>
    <t xml:space="preserve">Volume di C servibile con le ore interne</t>
  </si>
  <si>
    <t xml:space="preserve">Impresa guida - tre alternative per la linea C</t>
  </si>
  <si>
    <t xml:space="preserve">Mantenere, eliminare o ridurre la linea C: ore, margine, struttura, capacità esterna, risultato; capitolo 15</t>
  </si>
  <si>
    <t xml:space="preserve">Ore - mantenere C a 2.000</t>
  </si>
  <si>
    <t xml:space="preserve">Ore - eliminare C</t>
  </si>
  <si>
    <t xml:space="preserve">Ore - ridurre C a 1.000</t>
  </si>
  <si>
    <t xml:space="preserve">Margine - mantenere</t>
  </si>
  <si>
    <t xml:space="preserve">Margine - eliminare</t>
  </si>
  <si>
    <t xml:space="preserve">Margine - ridurre</t>
  </si>
  <si>
    <t xml:space="preserve">Struttura base invariata (tutte e tre)</t>
  </si>
  <si>
    <t xml:space="preserve">Capacità esterna - mantenere</t>
  </si>
  <si>
    <t xml:space="preserve">Capacità esterna - eliminare</t>
  </si>
  <si>
    <t xml:space="preserve">Capacità esterna - ridurre</t>
  </si>
  <si>
    <t xml:space="preserve">Risultato operativo - mantenere</t>
  </si>
  <si>
    <t xml:space="preserve">Risultato operativo - eliminare</t>
  </si>
  <si>
    <t xml:space="preserve">Risultato operativo - ridurre</t>
  </si>
  <si>
    <t xml:space="preserve">Risultato differenziale - eliminare</t>
  </si>
  <si>
    <t xml:space="preserve">Risultato differenziale - ridurre</t>
  </si>
  <si>
    <t xml:space="preserve">Impresa guida - lettura del confronto</t>
  </si>
  <si>
    <t xml:space="preserve">Margine perso, ore liberate e punto di indifferenza sul prezzo orario; capitolo 15</t>
  </si>
  <si>
    <t xml:space="preserve">Margine perso eliminando C</t>
  </si>
  <si>
    <t xml:space="preserve">Margine perso riducendo C</t>
  </si>
  <si>
    <t xml:space="preserve">Ore liberate dall'eliminazione</t>
  </si>
  <si>
    <t xml:space="preserve">Ore interne che avanzano (costo opportunità nullo)</t>
  </si>
  <si>
    <t xml:space="preserve">Punto di indifferenza - prezzo orario della capacità esterna</t>
  </si>
  <si>
    <t xml:space="preserve">Alternativa migliore</t>
  </si>
  <si>
    <t xml:space="preserve">Ridurre C a 1.000</t>
  </si>
  <si>
    <t xml:space="preserve">Costo rilevante del Make e del Buy, volume di indifferenza e il turno aggiuntivo dell'impresa guida contro le ore esterne.</t>
  </si>
  <si>
    <t xml:space="preserve">Esempio economico Make or Buy</t>
  </si>
  <si>
    <t xml:space="preserve">Costo pieno contro costo rilevante: solo 2 dei 6 euro di fissi sono evitabili; capitolo 16</t>
  </si>
  <si>
    <t xml:space="preserve">Quantità</t>
  </si>
  <si>
    <t xml:space="preserve">Materiali per unità</t>
  </si>
  <si>
    <t xml:space="preserve">Lavoro per unità (evitabile)</t>
  </si>
  <si>
    <t xml:space="preserve">Costi variabili indiretti per unità</t>
  </si>
  <si>
    <t xml:space="preserve">Costi fissi allocati per unità</t>
  </si>
  <si>
    <t xml:space="preserve">di cui evitabili per unità</t>
  </si>
  <si>
    <t xml:space="preserve">Prezzo del fornitore</t>
  </si>
  <si>
    <t xml:space="preserve">Trasporto e controlli (Buy)</t>
  </si>
  <si>
    <t xml:space="preserve">Costo pieno interno per unità</t>
  </si>
  <si>
    <t xml:space="preserve">Risparmio apparente per unità</t>
  </si>
  <si>
    <t xml:space="preserve">Make - materiali</t>
  </si>
  <si>
    <t xml:space="preserve">Make - lavoro evitabile</t>
  </si>
  <si>
    <t xml:space="preserve">Make - variabili indiretti</t>
  </si>
  <si>
    <t xml:space="preserve">Make - fissi evitabili</t>
  </si>
  <si>
    <t xml:space="preserve">Make rilevante totale</t>
  </si>
  <si>
    <t xml:space="preserve">Buy - prezzo fornitore</t>
  </si>
  <si>
    <t xml:space="preserve">Buy rilevante totale</t>
  </si>
  <si>
    <t xml:space="preserve">Maggior costo del Buy</t>
  </si>
  <si>
    <t xml:space="preserve">Costi fissi allocati che restano</t>
  </si>
  <si>
    <t xml:space="preserve">Scelta senza costo opportunità</t>
  </si>
  <si>
    <t xml:space="preserve">Make</t>
  </si>
  <si>
    <t xml:space="preserve">Volume di indifferenza Make or Buy</t>
  </si>
  <si>
    <t xml:space="preserve">Fissi evitabili del Make / (prezzo Buy - variabile Make); capitolo 16</t>
  </si>
  <si>
    <t xml:space="preserve">Make - costi fissi evitabili</t>
  </si>
  <si>
    <t xml:space="preserve">Make - costo variabile unitario</t>
  </si>
  <si>
    <t xml:space="preserve">Buy - prezzo unitario</t>
  </si>
  <si>
    <t xml:space="preserve">Vantaggio unitario del Make</t>
  </si>
  <si>
    <t xml:space="preserve">Volume di indifferenza</t>
  </si>
  <si>
    <t xml:space="preserve">Volume previsto</t>
  </si>
  <si>
    <t xml:space="preserve">Vantaggio del Make al volume previsto</t>
  </si>
  <si>
    <t xml:space="preserve">Impresa guida - turno aggiuntivo contro ore esterne</t>
  </si>
  <si>
    <t xml:space="preserve">Make (turno) e Buy (ore esterne a 28 euro) sulle stesse 3.000 ore; ipotesi del caso non presente nel dataset; capitolo 16</t>
  </si>
  <si>
    <t xml:space="preserve">Turno - costi fissi evitabili annui</t>
  </si>
  <si>
    <t xml:space="preserve">Turno - costi variabili per ora</t>
  </si>
  <si>
    <t xml:space="preserve">Ore macchina aggiuntive (Make e Buy)</t>
  </si>
  <si>
    <t xml:space="preserve">Costo rilevante - Make</t>
  </si>
  <si>
    <t xml:space="preserve">Costo rilevante - Buy</t>
  </si>
  <si>
    <t xml:space="preserve">Costo per ora - Make</t>
  </si>
  <si>
    <t xml:space="preserve">Costo per ora - Buy</t>
  </si>
  <si>
    <t xml:space="preserve">Margine - Make e Buy</t>
  </si>
  <si>
    <t xml:space="preserve">Risultato operativo - Make</t>
  </si>
  <si>
    <t xml:space="preserve">Risultato operativo - Buy</t>
  </si>
  <si>
    <t xml:space="preserve">Risultato operativo - rinunciare a 1.000 unità di C</t>
  </si>
  <si>
    <t xml:space="preserve">Vantaggio del Make sul Buy</t>
  </si>
  <si>
    <t xml:space="preserve">Impresa guida - il confronto a costo pieno inganna</t>
  </si>
  <si>
    <t xml:space="preserve">Caricare sul solo turno la quota di costi indiretti a 5 euro per ora rovescia la scelta; capitolo 16</t>
  </si>
  <si>
    <t xml:space="preserve">Quota costi indiretti sulle 3.000 ore</t>
  </si>
  <si>
    <t xml:space="preserve">Make a costo pieno</t>
  </si>
  <si>
    <t xml:space="preserve">Maggior costo apparente del Make</t>
  </si>
  <si>
    <t xml:space="preserve">Impresa guida - soglie e alternativa di non produrre</t>
  </si>
  <si>
    <t xml:space="preserve">Volume di indifferenza in ore, perdita di Make e Buy contro il margine servito, ore necessarie per scendere sotto 17 euro; capitolo 16</t>
  </si>
  <si>
    <t xml:space="preserve">Volume di indifferenza fra turno e ore esterne</t>
  </si>
  <si>
    <t xml:space="preserve">Margine delle 1.000 unità di C servite</t>
  </si>
  <si>
    <t xml:space="preserve">Perdita con il turno</t>
  </si>
  <si>
    <t xml:space="preserve">Perdita con le ore esterne</t>
  </si>
  <si>
    <t xml:space="preserve">Ore oltre le quali il turno costa meno di 17 euro per ora</t>
  </si>
  <si>
    <t xml:space="preserve">Soglia rispetto al fabbisogno</t>
  </si>
  <si>
    <t xml:space="preserve">Rinunciare a 1.000 unità di C</t>
  </si>
  <si>
    <t xml:space="preserve">Ricarico e margine, cascata dal listino al prezzo netto, volume dopo uno sconto e prezzi minimi delle tre linee dell'impresa guida.</t>
  </si>
  <si>
    <t xml:space="preserve">Cost plus e target costing</t>
  </si>
  <si>
    <t xml:space="preserve">Ricarico sul costo e margine sul prezzo non coincidono; il target costing parte dal prezzo; capitolo 17</t>
  </si>
  <si>
    <t xml:space="preserve">Costo</t>
  </si>
  <si>
    <t xml:space="preserve">capitolo 17</t>
  </si>
  <si>
    <t xml:space="preserve">Ricarico sul costo</t>
  </si>
  <si>
    <t xml:space="preserve">Prezzo con ricarico</t>
  </si>
  <si>
    <t xml:space="preserve">Margine sul prezzo</t>
  </si>
  <si>
    <t xml:space="preserve">Prezzo di mercato</t>
  </si>
  <si>
    <t xml:space="preserve">Margine obiettivo sul prezzo</t>
  </si>
  <si>
    <t xml:space="preserve">Costo obiettivo</t>
  </si>
  <si>
    <t xml:space="preserve">Dal listino al prezzo netto realizzato</t>
  </si>
  <si>
    <t xml:space="preserve">Riduzioni del corrispettivo fino al ricavo netto, poi il costo di servizio; capitolo 17</t>
  </si>
  <si>
    <t xml:space="preserve">Prezzo di listino</t>
  </si>
  <si>
    <t xml:space="preserve">Sconto commerciale</t>
  </si>
  <si>
    <t xml:space="preserve">Premio fine anno</t>
  </si>
  <si>
    <t xml:space="preserve">Resi e rettifiche attesi</t>
  </si>
  <si>
    <t xml:space="preserve">Ricavo netto unitario</t>
  </si>
  <si>
    <t xml:space="preserve">Trasporto incluso (costo di servizio)</t>
  </si>
  <si>
    <t xml:space="preserve">Prezzo netto realizzato</t>
  </si>
  <si>
    <t xml:space="preserve">Sconto e volume necessario</t>
  </si>
  <si>
    <t xml:space="preserve">Uno sconto del 5% taglia il margine del 16,7% e richiede il 20% di volume in più; capitolo 17</t>
  </si>
  <si>
    <t xml:space="preserve">Sconto</t>
  </si>
  <si>
    <t xml:space="preserve">Volume dello scenario base</t>
  </si>
  <si>
    <t xml:space="preserve">Margine unitario base</t>
  </si>
  <si>
    <t xml:space="preserve">Prezzo scontato</t>
  </si>
  <si>
    <t xml:space="preserve">Sconto in percentuale</t>
  </si>
  <si>
    <t xml:space="preserve">Margine unitario dopo lo sconto</t>
  </si>
  <si>
    <t xml:space="preserve">Riduzione del margine unitario</t>
  </si>
  <si>
    <t xml:space="preserve">Margine totale base</t>
  </si>
  <si>
    <t xml:space="preserve">Volume necessario dopo lo sconto</t>
  </si>
  <si>
    <t xml:space="preserve">Margine totale scenario sconto</t>
  </si>
  <si>
    <t xml:space="preserve">Volume aggiuntivo richiesto</t>
  </si>
  <si>
    <t xml:space="preserve">Impresa guida - la cascata della linea B</t>
  </si>
  <si>
    <t xml:space="preserve">Dal listino di 120 al prezzo netto di 114 e margine contro ricarico; capitolo 17</t>
  </si>
  <si>
    <t xml:space="preserve">Linea B - listino</t>
  </si>
  <si>
    <t xml:space="preserve">Premio di fine anno</t>
  </si>
  <si>
    <t xml:space="preserve">Altre concessioni sul corrispettivo</t>
  </si>
  <si>
    <t xml:space="preserve">Ricavo netto unitario (prezzo netto)</t>
  </si>
  <si>
    <t xml:space="preserve">Differenza dal prezzo del dataset (deve essere zero)</t>
  </si>
  <si>
    <t xml:space="preserve">Ricarico sul costo variabile</t>
  </si>
  <si>
    <t xml:space="preserve">Impresa guida - linea B contro il budget</t>
  </si>
  <si>
    <t xml:space="preserve">Scostamento di prezzo e margine e volume necessario per il margine di budget; capitolo 17</t>
  </si>
  <si>
    <t xml:space="preserve">Margine di budget della linea B</t>
  </si>
  <si>
    <t xml:space="preserve">Scostamento del prezzo</t>
  </si>
  <si>
    <t xml:space="preserve">Scostamento del margine unitario</t>
  </si>
  <si>
    <t xml:space="preserve">Volume necessario per il margine di budget</t>
  </si>
  <si>
    <t xml:space="preserve">Margine non recuperato servendo tutta la domanda</t>
  </si>
  <si>
    <t xml:space="preserve">Trasporto per consegna - parte variabile</t>
  </si>
  <si>
    <t xml:space="preserve">Consegna - tariffa piena</t>
  </si>
  <si>
    <t xml:space="preserve">di cui personale di spedizione (costo di capacità)</t>
  </si>
  <si>
    <t xml:space="preserve">Impresa guida - prezzi minimi per linea</t>
  </si>
  <si>
    <t xml:space="preserve">Capacità libera, vincolo con ore tolte alla linea C (17 euro per ora) e ore esterne a 28 euro; capitolo 17</t>
  </si>
  <si>
    <t xml:space="preserve">Linea A - prezzo minimo con capacità libera</t>
  </si>
  <si>
    <t xml:space="preserve">Linea A - prezzo minimo con vincolo</t>
  </si>
  <si>
    <t xml:space="preserve">Linea A - prezzo con ore esterne</t>
  </si>
  <si>
    <t xml:space="preserve">Linea B - prezzo minimo con capacità libera</t>
  </si>
  <si>
    <t xml:space="preserve">Linea B - prezzo minimo con vincolo</t>
  </si>
  <si>
    <t xml:space="preserve">Linea B - prezzo con ore esterne</t>
  </si>
  <si>
    <t xml:space="preserve">Linea C - prezzo minimo con capacità libera</t>
  </si>
  <si>
    <t xml:space="preserve">Linea C - prezzo minimo con vincolo</t>
  </si>
  <si>
    <t xml:space="preserve">Linea C - prezzo con ore esterne</t>
  </si>
  <si>
    <t xml:space="preserve">Aumento necessario del prezzo di C</t>
  </si>
  <si>
    <t xml:space="preserve">Listino attuale della linea C</t>
  </si>
  <si>
    <t xml:space="preserve">Prezzo con ore esterne rispetto al listino</t>
  </si>
  <si>
    <t xml:space="preserve">Sopra il listino</t>
  </si>
  <si>
    <t xml:space="preserve">Margine per fattore scarso, mix con uno e due vincoli, prezzi ombra e scenari di mix dell'impresa guida.</t>
  </si>
  <si>
    <t xml:space="preserve">Margine per fattore scarso</t>
  </si>
  <si>
    <t xml:space="preserve">Margine unitario diviso per le ore macchina per unità; capitolo 18</t>
  </si>
  <si>
    <t xml:space="preserve">Prodotto A - margine unitario</t>
  </si>
  <si>
    <t xml:space="preserve">capitolo 18</t>
  </si>
  <si>
    <t xml:space="preserve">Prodotto A - ore macchina per unità</t>
  </si>
  <si>
    <t xml:space="preserve">Prodotto B - margine unitario</t>
  </si>
  <si>
    <t xml:space="preserve">Prodotto B - ore macchina per unità</t>
  </si>
  <si>
    <t xml:space="preserve">Prodotto A - margine per ora</t>
  </si>
  <si>
    <t xml:space="preserve">Prodotto B - margine per ora</t>
  </si>
  <si>
    <t xml:space="preserve">Prodotto con priorità</t>
  </si>
  <si>
    <t xml:space="preserve">Mix produttivo con 9.000 ore</t>
  </si>
  <si>
    <t xml:space="preserve">Capacità assegnata a B fino alla domanda massima, poi ad A; capitolo 18</t>
  </si>
  <si>
    <t xml:space="preserve">Ore macchina disponibili</t>
  </si>
  <si>
    <t xml:space="preserve">Domanda massima di B</t>
  </si>
  <si>
    <t xml:space="preserve">Ore assorbite da B</t>
  </si>
  <si>
    <t xml:space="preserve">Margine di B</t>
  </si>
  <si>
    <t xml:space="preserve">Ore residue per A</t>
  </si>
  <si>
    <t xml:space="preserve">Unità di A</t>
  </si>
  <si>
    <t xml:space="preserve">Margine di A</t>
  </si>
  <si>
    <t xml:space="preserve">Valore della capacità aggiuntiva</t>
  </si>
  <si>
    <t xml:space="preserve">Con B saturata un'ora in più vale il margine orario di A; confronto con due costi; capitolo 18</t>
  </si>
  <si>
    <t xml:space="preserve">Valore di un'ora aggiuntiva</t>
  </si>
  <si>
    <t xml:space="preserve">Costo di un'ora - caso 1</t>
  </si>
  <si>
    <t xml:space="preserve">Costo di un'ora - caso 2</t>
  </si>
  <si>
    <t xml:space="preserve">Esito caso 1</t>
  </si>
  <si>
    <t xml:space="preserve">Conveniente</t>
  </si>
  <si>
    <t xml:space="preserve">Esito caso 2</t>
  </si>
  <si>
    <t xml:space="preserve">Non conveniente</t>
  </si>
  <si>
    <t xml:space="preserve">Due vincoli - dati e ordinamenti su un solo rapporto</t>
  </si>
  <si>
    <t xml:space="preserve">Aggiunta del lavoro specializzato: il mix precedente non è realizzabile e l'ordinamento per ora di lavoro dà 195.000; capitolo 18</t>
  </si>
  <si>
    <t xml:space="preserve">Prodotto A - ore di lavoro per unità</t>
  </si>
  <si>
    <t xml:space="preserve">Prodotto B - ore di lavoro per unità</t>
  </si>
  <si>
    <t xml:space="preserve">Ore di lavoro disponibili</t>
  </si>
  <si>
    <t xml:space="preserve">Domanda massima di A</t>
  </si>
  <si>
    <t xml:space="preserve">Ore di lavoro del mix per ora macchina</t>
  </si>
  <si>
    <t xml:space="preserve">Prodotto A - margine per ora di lavoro</t>
  </si>
  <si>
    <t xml:space="preserve">Prodotto B - margine per ora di lavoro</t>
  </si>
  <si>
    <t xml:space="preserve">Unità di B con le ore macchina residue</t>
  </si>
  <si>
    <t xml:space="preserve">Margine dell'ordinamento per ora di lavoro</t>
  </si>
  <si>
    <t xml:space="preserve">Due vincoli - i vertici dell'area ammissibile</t>
  </si>
  <si>
    <t xml:space="preserve">Ore e margine in ogni vertice; l'ottimo satura entrambe le risorse; capitolo 18</t>
  </si>
  <si>
    <t xml:space="preserve">Vertice 1 (solo A) - A</t>
  </si>
  <si>
    <t xml:space="preserve">Vertice 1 - ore macchina</t>
  </si>
  <si>
    <t xml:space="preserve">Vertice 1 - ore lavoro</t>
  </si>
  <si>
    <t xml:space="preserve">Vertice 1 - margine</t>
  </si>
  <si>
    <t xml:space="preserve">Vertice 2 (A massimo, macchina satura) - ore lavoro</t>
  </si>
  <si>
    <t xml:space="preserve">Vertice 3 (macchina e lavoro saturi) - A</t>
  </si>
  <si>
    <t xml:space="preserve">Vertice 3 - B</t>
  </si>
  <si>
    <t xml:space="preserve">Vertice 3 - ore macchina</t>
  </si>
  <si>
    <t xml:space="preserve">Vertice 3 - ore lavoro</t>
  </si>
  <si>
    <t xml:space="preserve">Vertice 3 - margine</t>
  </si>
  <si>
    <t xml:space="preserve">Vertice 4 (solo B, lavoro saturo) - B</t>
  </si>
  <si>
    <t xml:space="preserve">Vertice 4 - ore macchina</t>
  </si>
  <si>
    <t xml:space="preserve">Vertice 4 - margine</t>
  </si>
  <si>
    <t xml:space="preserve">Margine ottimo</t>
  </si>
  <si>
    <t xml:space="preserve">Due vincoli - prezzi ombra</t>
  </si>
  <si>
    <t xml:space="preserve">Valore di un'ora in più di ciascuna risorsa e verifica sul margine ottimo; capitolo 18</t>
  </si>
  <si>
    <t xml:space="preserve">Prezzo ombra dell'ora macchina</t>
  </si>
  <si>
    <t xml:space="preserve">Prezzo ombra dell'ora di lavoro</t>
  </si>
  <si>
    <t xml:space="preserve">Capacità valorizzate ai prezzi ombra</t>
  </si>
  <si>
    <t xml:space="preserve">Costo di una deviazione dal mix</t>
  </si>
  <si>
    <t xml:space="preserve">200 unità di A imposte al posto di B con il solo vincolo delle ore macchina; capitolo 18</t>
  </si>
  <si>
    <t xml:space="preserve">Unità aggiuntive di A imposte</t>
  </si>
  <si>
    <t xml:space="preserve">Ore assorbite</t>
  </si>
  <si>
    <t xml:space="preserve">Unità di B perse</t>
  </si>
  <si>
    <t xml:space="preserve">Margine guadagnato su A</t>
  </si>
  <si>
    <t xml:space="preserve">Margine perso su B</t>
  </si>
  <si>
    <t xml:space="preserve">Margine perso</t>
  </si>
  <si>
    <t xml:space="preserve">Verifica: ore per differenza di margine orario</t>
  </si>
  <si>
    <t xml:space="preserve">Impresa guida - quattro scenari di mix</t>
  </si>
  <si>
    <t xml:space="preserve">Mix per margine orario (ottimo), C servita con ore comprate o tolte ad A, mix per margine unitario; margini per ora nel foglio Cap_15; capitolo 18</t>
  </si>
  <si>
    <t xml:space="preserve">Mix per margine per ora - margine</t>
  </si>
  <si>
    <t xml:space="preserve">Mix per margine per ora - risultato</t>
  </si>
  <si>
    <t xml:space="preserve">C a 2.000 con ore comprate - margine</t>
  </si>
  <si>
    <t xml:space="preserve">C a 2.000 con ore comprate - capacità esterna</t>
  </si>
  <si>
    <t xml:space="preserve">C a 2.000 con ore comprate - risultato</t>
  </si>
  <si>
    <t xml:space="preserve">C a 2.000 con ore tolte ad A - unità di A</t>
  </si>
  <si>
    <t xml:space="preserve">C a 2.000 con ore tolte ad A - margine</t>
  </si>
  <si>
    <t xml:space="preserve">C a 2.000 con ore tolte ad A - risultato</t>
  </si>
  <si>
    <t xml:space="preserve">Mix per margine unitario - unità di B</t>
  </si>
  <si>
    <t xml:space="preserve">Mix per margine unitario - margine</t>
  </si>
  <si>
    <t xml:space="preserve">Mix per margine unitario - risultato</t>
  </si>
  <si>
    <t xml:space="preserve">Margine perso ordinando per margine unitario</t>
  </si>
  <si>
    <t xml:space="preserve">Impresa guida - valore dell'ora e costo delle deviazioni</t>
  </si>
  <si>
    <t xml:space="preserve">Un'ora in più vale 17 euro per 3.000 ore; servire tutta la C costa 33.000 euro con ore comprate o 75.000 togliendo ore ad A; capitolo 18</t>
  </si>
  <si>
    <t xml:space="preserve">Ore per cui vale (domanda di C non servita)</t>
  </si>
  <si>
    <t xml:space="preserve">Perdita per ogni ora comprata a 28 euro</t>
  </si>
  <si>
    <t xml:space="preserve">Deviazione con ore comprate</t>
  </si>
  <si>
    <t xml:space="preserve">Unità di A a cui rinunciare</t>
  </si>
  <si>
    <t xml:space="preserve">Deviazione con ore tolte ad A</t>
  </si>
  <si>
    <t xml:space="preserve">Deviazione meno costosa</t>
  </si>
  <si>
    <t xml:space="preserve">Comprare le ore</t>
  </si>
  <si>
    <t xml:space="preserve">Il foglio con cui si collaudano le risposte degli strumenti di IA: ricalcola in formule, dai dati dell'impresa guida, i numeri da ritrovare nel collaudo dei quindici lavori e dei processi dei paragrafi 19.2 e 19.5.</t>
  </si>
  <si>
    <t xml:space="preserve">19.2 - Previsione di chiusura dopo il primo trimestre</t>
  </si>
  <si>
    <t xml:space="preserve">Scenario di prosecuzione (rapporto consuntivo/budget del trimestre applicato ai nove mesi residui) contro il trimestre moltiplicato per quattro; il budget annuo viene dal blocco del lavoro 8; il libro arrotonda alle centinaia; paragrafo 19.2</t>
  </si>
  <si>
    <t xml:space="preserve">Primo trimestre - ricavi netti consuntivi</t>
  </si>
  <si>
    <t xml:space="preserve">paragrafo 19.2</t>
  </si>
  <si>
    <t xml:space="preserve">Primo trimestre - margine di contribuzione consuntivo</t>
  </si>
  <si>
    <t xml:space="preserve">Primo trimestre - costi della struttura consuntivi</t>
  </si>
  <si>
    <t xml:space="preserve">Primo trimestre - ricavi netti di budget</t>
  </si>
  <si>
    <t xml:space="preserve">Primo trimestre - margine di budget</t>
  </si>
  <si>
    <t xml:space="preserve">Primo trimestre - costi della struttura di budget</t>
  </si>
  <si>
    <t xml:space="preserve">Ore esterne dei nove mesi residui rispetto al budget</t>
  </si>
  <si>
    <t xml:space="preserve">Primo trimestre - risultato operativo</t>
  </si>
  <si>
    <t xml:space="preserve">Prosecuzione - ricavi dell'esercizio</t>
  </si>
  <si>
    <t xml:space="preserve">Prosecuzione - margine dell'esercizio</t>
  </si>
  <si>
    <t xml:space="preserve">Prosecuzione - costi della struttura</t>
  </si>
  <si>
    <t xml:space="preserve">Previsione di chiusura - risultato operativo</t>
  </si>
  <si>
    <t xml:space="preserve">Errore tipico: trimestre x 4 - risultato operativo</t>
  </si>
  <si>
    <t xml:space="preserve">Differenza fra prosecuzione e trimestre x 4</t>
  </si>
  <si>
    <t xml:space="preserve">Lavori 1, 2 e 3 - Classificare i costi, capacità mensile, Conto Economico a margine</t>
  </si>
  <si>
    <t xml:space="preserve">Costi che variano rispetto a un driver e costi di capacità; ore mancanti; capacità mensile usata nel lavoro 2 e nel 19.5; incidenze del prospetto a margine; capitolo 19, lavori 1, 2 e 3</t>
  </si>
  <si>
    <t xml:space="preserve">capitolo 19, lavoro 1</t>
  </si>
  <si>
    <t xml:space="preserve">Ricambi e trasferte di assistenza</t>
  </si>
  <si>
    <t xml:space="preserve">Costi che variano rispetto a un driver</t>
  </si>
  <si>
    <t xml:space="preserve">Costi di capacità</t>
  </si>
  <si>
    <t xml:space="preserve">Ore mancanti ricavate dalla capacità esterna (84.000 / 28)</t>
  </si>
  <si>
    <t xml:space="preserve">Capacità ordinaria al mese</t>
  </si>
  <si>
    <t xml:space="preserve">capitolo 19, lavoro 2</t>
  </si>
  <si>
    <t xml:space="preserve">Margine di contribuzione in % dei ricavi</t>
  </si>
  <si>
    <t xml:space="preserve">capitolo 19, lavoro 3</t>
  </si>
  <si>
    <t xml:space="preserve">Incidenza dei costi variabili</t>
  </si>
  <si>
    <t xml:space="preserve">Incidenza dei costi della struttura</t>
  </si>
  <si>
    <t xml:space="preserve">Incidenza del risultato operativo</t>
  </si>
  <si>
    <t xml:space="preserve">Lavoro 4 - Allocare i costi indiretti</t>
  </si>
  <si>
    <t xml:space="preserve">Ribaltamento a cascata dei centri ausiliari sul centro Lavorazione e allocazione per ore macchina; capitolo 19, lavoro 4</t>
  </si>
  <si>
    <t xml:space="preserve">Manutenzione - costo diretto</t>
  </si>
  <si>
    <t xml:space="preserve">capitolo 19, lavoro 4</t>
  </si>
  <si>
    <t xml:space="preserve">Programmazione e qualità - costo diretto</t>
  </si>
  <si>
    <t xml:space="preserve">Lavorazione - costo diretto</t>
  </si>
  <si>
    <t xml:space="preserve">Quota di Manutenzione a Programmazione e qualità</t>
  </si>
  <si>
    <t xml:space="preserve">Coefficiente per ora macchina</t>
  </si>
  <si>
    <t xml:space="preserve">Linea A - costo allocato per unità</t>
  </si>
  <si>
    <t xml:space="preserve">Linea A - costo allocato</t>
  </si>
  <si>
    <t xml:space="preserve">Linea B - costo allocato per unità</t>
  </si>
  <si>
    <t xml:space="preserve">Linea B - costo allocato</t>
  </si>
  <si>
    <t xml:space="preserve">Linea C - costo allocato per unità</t>
  </si>
  <si>
    <t xml:space="preserve">Linea C - costo allocato</t>
  </si>
  <si>
    <t xml:space="preserve">Lavori 5 e 6 - Modello per attività e costo di servizio</t>
  </si>
  <si>
    <t xml:space="preserve">Tariffe di capacità (capacità pratica pari ai volumi), costo fuori perimetro, costo di servizio e margine dei clienti X e Y; capitolo 19, lavori 5 e 6</t>
  </si>
  <si>
    <t xml:space="preserve">capitolo 19, lavoro 5</t>
  </si>
  <si>
    <t xml:space="preserve">Ordini (capacità pratica)</t>
  </si>
  <si>
    <t xml:space="preserve">Consegne (capacità pratica)</t>
  </si>
  <si>
    <t xml:space="preserve">Ore di assistenza (capacità pratica)</t>
  </si>
  <si>
    <t xml:space="preserve">Struttura fuori dal modello</t>
  </si>
  <si>
    <t xml:space="preserve">Clienti X e Y - ricavi netti (uguali)</t>
  </si>
  <si>
    <t xml:space="preserve">capitolo 19, lavoro 6</t>
  </si>
  <si>
    <t xml:space="preserve">Clienti X e Y - margine di prodotto (uguale)</t>
  </si>
  <si>
    <t xml:space="preserve">Cliente X - ordini</t>
  </si>
  <si>
    <t xml:space="preserve">Cliente X - consegne</t>
  </si>
  <si>
    <t xml:space="preserve">Cliente X - ore di assistenza</t>
  </si>
  <si>
    <t xml:space="preserve">Cliente Y - ordini</t>
  </si>
  <si>
    <t xml:space="preserve">Cliente Y - consegne</t>
  </si>
  <si>
    <t xml:space="preserve">Cliente Y - ore di assistenza</t>
  </si>
  <si>
    <t xml:space="preserve">Cliente X - costo di servizio</t>
  </si>
  <si>
    <t xml:space="preserve">Cliente X - margine cliente</t>
  </si>
  <si>
    <t xml:space="preserve">Cliente X - margine cliente in %</t>
  </si>
  <si>
    <t xml:space="preserve">Cliente Y - costo di servizio</t>
  </si>
  <si>
    <t xml:space="preserve">Cliente Y - margine cliente</t>
  </si>
  <si>
    <t xml:space="preserve">Cliente Y - margine cliente in %</t>
  </si>
  <si>
    <t xml:space="preserve">Lavoro 7 - Costo pieno e margine sulla stessa decisione</t>
  </si>
  <si>
    <t xml:space="preserve">Struttura diversa dai costi indiretti ripartita sui ricavi; risultati per linea a costo pieno e simulazione dell'eliminazione della linea C nelle due ipotesi; capitolo 19, lavoro 7</t>
  </si>
  <si>
    <t xml:space="preserve">Struttura da ripartire (esclusi i costi indiretti)</t>
  </si>
  <si>
    <t xml:space="preserve">capitolo 19, lavoro 7</t>
  </si>
  <si>
    <t xml:space="preserve">Linea A - risultato a costo pieno</t>
  </si>
  <si>
    <t xml:space="preserve">Linea B - risultato a costo pieno</t>
  </si>
  <si>
    <t xml:space="preserve">Linea C - risultato a costo pieno</t>
  </si>
  <si>
    <t xml:space="preserve">Somma dei risultati per linea</t>
  </si>
  <si>
    <t xml:space="preserve">Linea C - risultato a costo pieno per unità</t>
  </si>
  <si>
    <t xml:space="preserve">Senza C, struttura invariata - risultato operativo</t>
  </si>
  <si>
    <t xml:space="preserve">Senza C, capacità esterna evitata - risultato operativo</t>
  </si>
  <si>
    <t xml:space="preserve">Lavori 8 e 9 - Budget operativo</t>
  </si>
  <si>
    <t xml:space="preserve">Budget dell'esercizio successivo con verifica di fattibilità sulle ore e capacità esterna iscritta una sola volta; per il lavoro 9 il collaudo è la quadratura dei nove mesi, senza un numero da ricalcolare; capitolo 19, lavoro 8</t>
  </si>
  <si>
    <t xml:space="preserve">Linea B - volume di budget</t>
  </si>
  <si>
    <t xml:space="preserve">capitolo 19, lavoro 8</t>
  </si>
  <si>
    <t xml:space="preserve">Linea B - prezzo netto di budget</t>
  </si>
  <si>
    <t xml:space="preserve">Linea C - volume di budget</t>
  </si>
  <si>
    <t xml:space="preserve">Ricavi netti di budget</t>
  </si>
  <si>
    <t xml:space="preserve">Margine di budget in %</t>
  </si>
  <si>
    <t xml:space="preserve">Ore macchina richieste dal budget</t>
  </si>
  <si>
    <t xml:space="preserve">Costi della struttura di budget (capacità esterna una volta)</t>
  </si>
  <si>
    <t xml:space="preserve">Lavori 10 e 12 - Ponte del margine e prezzo della linea B</t>
  </si>
  <si>
    <t xml:space="preserve">Effetti quantità, mix e prezzo con le formule autorizzate (effetto costo variabile nullo: costi unitari invariati); volume necessario sul margine per compensare i 4 euro della linea B; capitolo 19, lavori 10 e 12</t>
  </si>
  <si>
    <t xml:space="preserve">Quantità totale di budget</t>
  </si>
  <si>
    <t xml:space="preserve">Quantità totale consuntiva</t>
  </si>
  <si>
    <t xml:space="preserve">capitolo 19, lavoro 10</t>
  </si>
  <si>
    <t xml:space="preserve">Effetto prezzo (cambia solo la linea B)</t>
  </si>
  <si>
    <t xml:space="preserve">Scostamento del margine (consuntivo - budget)</t>
  </si>
  <si>
    <t xml:space="preserve">Differenza residua del ponte</t>
  </si>
  <si>
    <t xml:space="preserve">Linea B - margine unitario di budget</t>
  </si>
  <si>
    <t xml:space="preserve">capitolo 19, lavoro 12</t>
  </si>
  <si>
    <t xml:space="preserve">Linea B - margine unitario consuntivo</t>
  </si>
  <si>
    <t xml:space="preserve">Linea B - margine obiettivo (budget)</t>
  </si>
  <si>
    <t xml:space="preserve">Volume necessario a conservare il margine</t>
  </si>
  <si>
    <t xml:space="preserve">Margine non recuperato oltre la domanda massima</t>
  </si>
  <si>
    <t xml:space="preserve">Margine massimo al prezzo di 114 euro</t>
  </si>
  <si>
    <t xml:space="preserve">Lavori 11 e 13 - Capacità esterna o rinuncia, mix con reparto saturo</t>
  </si>
  <si>
    <t xml:space="preserve">Graduatoria per margine per ora (B, A, C: l'ordine delle righe del riempimento segue questa graduatoria); mix entro le 21.000 ore, confronto con la domanda piena, secondo procedimento e mix sbagliato per margine unitario; capitolo 19, lavori 11 e 13</t>
  </si>
  <si>
    <t xml:space="preserve">Linea A - margine per ora macchina</t>
  </si>
  <si>
    <t xml:space="preserve">capitolo 19, lavoro 11</t>
  </si>
  <si>
    <t xml:space="preserve">Linea B - margine per ora macchina</t>
  </si>
  <si>
    <t xml:space="preserve">Linea C - margine per ora macchina (anche prezzo di indifferenza)</t>
  </si>
  <si>
    <t xml:space="preserve">Mix - linea B (prima)</t>
  </si>
  <si>
    <t xml:space="preserve">capitolo 19, lavoro 13</t>
  </si>
  <si>
    <t xml:space="preserve">Mix - linea A (seconda)</t>
  </si>
  <si>
    <t xml:space="preserve">Mix - linea C (terza, servita in parte)</t>
  </si>
  <si>
    <t xml:space="preserve">Mix - ore assorbite</t>
  </si>
  <si>
    <t xml:space="preserve">Mix - fatturato</t>
  </si>
  <si>
    <t xml:space="preserve">Mix - margine di contribuzione</t>
  </si>
  <si>
    <t xml:space="preserve">Margine rinunciato sulla linea C</t>
  </si>
  <si>
    <t xml:space="preserve">Mix - risultato operativo (senza capacità esterna)</t>
  </si>
  <si>
    <t xml:space="preserve">Vantaggio della rinuncia (84.000 - 51.000)</t>
  </si>
  <si>
    <t xml:space="preserve">Secondo procedimento (28 - 17) x ore</t>
  </si>
  <si>
    <t xml:space="preserve">Errore tipico: mix per margine unitario (A, C, poi B)</t>
  </si>
  <si>
    <t xml:space="preserve">Margine perso con il criterio sbagliato</t>
  </si>
  <si>
    <t xml:space="preserve">Lavoro 14 - Pareggio, margine di sicurezza e leva operativa</t>
  </si>
  <si>
    <t xml:space="preserve">Funzione di costo a tratti: struttura base fino a 21.000 ore, poi 28 euro per ogni ora eccedente; i due mix e il fatturato per l'obiettivo di 350.000 euro a mix costante; capitolo 19, lavoro 14</t>
  </si>
  <si>
    <t xml:space="preserve">Obiettivo di risultato operativo</t>
  </si>
  <si>
    <t xml:space="preserve">capitolo 19, lavoro 14</t>
  </si>
  <si>
    <t xml:space="preserve">Domanda piena - fatturato di pareggio</t>
  </si>
  <si>
    <t xml:space="preserve">Domanda piena - margine di sicurezza</t>
  </si>
  <si>
    <t xml:space="preserve">Fatturato alla soglia di 21.000 ore (domanda piena)</t>
  </si>
  <si>
    <t xml:space="preserve">Domanda piena - leva sopra soglia</t>
  </si>
  <si>
    <t xml:space="preserve">Entro capacità - fatturato di pareggio</t>
  </si>
  <si>
    <t xml:space="preserve">Entro capacità - margine di sicurezza</t>
  </si>
  <si>
    <t xml:space="preserve">Entro capacità - leva in riduzione</t>
  </si>
  <si>
    <t xml:space="preserve">Entro capacità - leva in aumento a mix costante</t>
  </si>
  <si>
    <t xml:space="preserve">Fatturato necessario per l'obiettivo (domanda piena)</t>
  </si>
  <si>
    <t xml:space="preserve">Obiettivo - costo della capacità esterna</t>
  </si>
  <si>
    <t xml:space="preserve">Obiettivo - margine di contribuzione</t>
  </si>
  <si>
    <t xml:space="preserve">Verifica: margine - struttura base - capacità esterna</t>
  </si>
  <si>
    <t xml:space="preserve">Lavoro 15 - KPI e cruscotto</t>
  </si>
  <si>
    <t xml:space="preserve">Margine per ora come media ponderata per le ore, saturazione (lettura del controller sulle sole soglie superiori), errore della media aritmetica e scostamento del risultato dal budget; capitolo 19, lavoro 15</t>
  </si>
  <si>
    <t xml:space="preserve">Margine per ora macchina (ponderato per le ore)</t>
  </si>
  <si>
    <t xml:space="preserve">capitolo 19, lavoro 15</t>
  </si>
  <si>
    <t xml:space="preserve">Saturazione della capacità</t>
  </si>
  <si>
    <t xml:space="preserve">Errore tipico: media aritmetica dei margini orari</t>
  </si>
  <si>
    <t xml:space="preserve">Margine inesistente implicato dalla media aritmetica</t>
  </si>
  <si>
    <t xml:space="preserve">Risultato operativo - scostamento dal budget in %</t>
  </si>
  <si>
    <t xml:space="preserve">19.5 - Reporting gestionale di marzo</t>
  </si>
  <si>
    <t xml:space="preserve">Budget di marzo per linea dal capitolo 14; consuntivo con 100 unità di B in più a 114 euro e 30 di C in meno; capacità esterna sulle ore oltre 1.750; ponte del margine e scarto delle ore (WARN sotto il 2%); capitolo 13, paragrafo 19.5</t>
  </si>
  <si>
    <t xml:space="preserve">Budget di marzo - linea A</t>
  </si>
  <si>
    <t xml:space="preserve">Budget di marzo - linea B</t>
  </si>
  <si>
    <t xml:space="preserve">Budget di marzo - linea C</t>
  </si>
  <si>
    <t xml:space="preserve">Marzo - linea B, unità in più del budget</t>
  </si>
  <si>
    <t xml:space="preserve">Marzo - linea C, unità in meno del budget</t>
  </si>
  <si>
    <t xml:space="preserve">Marzo - ore macchina rilevate</t>
  </si>
  <si>
    <t xml:space="preserve">Marzo - struttura base consuntiva</t>
  </si>
  <si>
    <t xml:space="preserve">Marzo - struttura base di budget</t>
  </si>
  <si>
    <t xml:space="preserve">Marzo - ricavi netti consuntivi</t>
  </si>
  <si>
    <t xml:space="preserve">Marzo - margine di contribuzione consuntivo</t>
  </si>
  <si>
    <t xml:space="preserve">Marzo - margine di contribuzione di budget</t>
  </si>
  <si>
    <t xml:space="preserve">Marzo - risultato operativo consuntivo</t>
  </si>
  <si>
    <t xml:space="preserve">Marzo - scostamento del risultato dal budget</t>
  </si>
  <si>
    <t xml:space="preserve">Marzo - effetto quantità</t>
  </si>
  <si>
    <t xml:space="preserve">Marzo - effetto mix</t>
  </si>
  <si>
    <t xml:space="preserve">Marzo - scarto fra ore teoriche e rilevate</t>
  </si>
  <si>
    <t xml:space="preserve">19.5 - Redditività per cliente e per canale</t>
  </si>
  <si>
    <t xml:space="preserve">Collaudo dell'applicazione sul canale diretto (valori di partenza) e raccordo dei due canali al risultato operativo, con le tariffe del lavoro 5; paragrafo 19.5</t>
  </si>
  <si>
    <t xml:space="preserve">Canale diretto - ricavi netti</t>
  </si>
  <si>
    <t xml:space="preserve">Canale diretto - margine di prodotto</t>
  </si>
  <si>
    <t xml:space="preserve">Canale diretto - ordini</t>
  </si>
  <si>
    <t xml:space="preserve">Canale diretto - consegne</t>
  </si>
  <si>
    <t xml:space="preserve">Canale diretto - ore di assistenza</t>
  </si>
  <si>
    <t xml:space="preserve">Canale diretto - costo di servizio</t>
  </si>
  <si>
    <t xml:space="preserve">Canale diretto - margine di canale</t>
  </si>
  <si>
    <t xml:space="preserve">Canale diretto - margine di canale in %</t>
  </si>
  <si>
    <t xml:space="preserve">Distributori - margine di canale</t>
  </si>
  <si>
    <t xml:space="preserve">Raccordo: margini di canale - struttura non attribuita</t>
  </si>
  <si>
    <t xml:space="preserve">Canale diretto - ricavo medio per ordine</t>
  </si>
  <si>
    <t xml:space="preserve">Gli esempi numerici delle 24 schede KPI e, a parte, i KPI dell'impresa guida del 20.9 con i saldi medi del 19.3.</t>
  </si>
  <si>
    <t xml:space="preserve">Schede 1-4 - Redditività e capitale investito</t>
  </si>
  <si>
    <t xml:space="preserve">Esempi numerici delle schede KPI 1-4 (EBITDA margin, ROS, rotazione, ROI); il ROI riprende EBIT e capitale delle schede 2 e 3; il controllo ROS x rotazione (capitolo 20) è mostrato sull'impresa guida; capitolo 20</t>
  </si>
  <si>
    <t xml:space="preserve">KPI 1 - EBITDA</t>
  </si>
  <si>
    <t xml:space="preserve">capitolo 20</t>
  </si>
  <si>
    <t xml:space="preserve">KPI 1 - Ricavi netti</t>
  </si>
  <si>
    <t xml:space="preserve">KPI 1 - EBITDA margin</t>
  </si>
  <si>
    <t xml:space="preserve">KPI 2 - EBIT</t>
  </si>
  <si>
    <t xml:space="preserve">KPI 2 - ROS (ricavi 1.200.000 della scheda 1)</t>
  </si>
  <si>
    <t xml:space="preserve">KPI 3 - Capitale operativo iniziale</t>
  </si>
  <si>
    <t xml:space="preserve">KPI 3 - Capitale operativo finale</t>
  </si>
  <si>
    <t xml:space="preserve">KPI 3 - Capitale operativo medio</t>
  </si>
  <si>
    <t xml:space="preserve">KPI 3 - Rotazione del capitale (ricavi 1.200.000)</t>
  </si>
  <si>
    <t xml:space="preserve">KPI 4 - ROI</t>
  </si>
  <si>
    <t xml:space="preserve">Schede 5-8 - Margini e punto di pareggio</t>
  </si>
  <si>
    <t xml:space="preserve">Esempi delle schede KPI 5-8; il pareggio usa il margine delle schede 5 e 6, il margine di sicurezza il pareggio della scheda 7; capitolo 20</t>
  </si>
  <si>
    <t xml:space="preserve">KPI 5 - Prezzo netto unitario</t>
  </si>
  <si>
    <t xml:space="preserve">KPI 5 - Costo variabile unitario</t>
  </si>
  <si>
    <t xml:space="preserve">KPI 5 - Margine di contribuzione unitario</t>
  </si>
  <si>
    <t xml:space="preserve">KPI 6 - Margine di contribuzione complessivo</t>
  </si>
  <si>
    <t xml:space="preserve">KPI 6 - Ricavi netti</t>
  </si>
  <si>
    <t xml:space="preserve">KPI 6 - Margine di contribuzione percentuale</t>
  </si>
  <si>
    <t xml:space="preserve">KPI 7 - Costi fissi operativi</t>
  </si>
  <si>
    <t xml:space="preserve">KPI 7 - Pareggio in quantità</t>
  </si>
  <si>
    <t xml:space="preserve">KPI 7 - Pareggio in valore</t>
  </si>
  <si>
    <t xml:space="preserve">KPI 8 - Vendite</t>
  </si>
  <si>
    <t xml:space="preserve">KPI 8 - Margine di sicurezza assoluto</t>
  </si>
  <si>
    <t xml:space="preserve">KPI 8 - Margine di sicurezza %</t>
  </si>
  <si>
    <t xml:space="preserve">Schede 9-11 - Scostamenti di budget</t>
  </si>
  <si>
    <t xml:space="preserve">Esempi delle schede KPI 9-11, convenzione consuntivo meno riferimento; nella 11 il denominatore è in valore assoluto; capitolo 20</t>
  </si>
  <si>
    <t xml:space="preserve">KPI 9 - Ricavi consuntivi</t>
  </si>
  <si>
    <t xml:space="preserve">KPI 9 - Ricavi di budget</t>
  </si>
  <si>
    <t xml:space="preserve">KPI 9 - Scostamento dei ricavi</t>
  </si>
  <si>
    <t xml:space="preserve">KPI 9 - Scostamento dei ricavi %</t>
  </si>
  <si>
    <t xml:space="preserve">KPI 10 - Costi consuntivi</t>
  </si>
  <si>
    <t xml:space="preserve">KPI 10 - Costi di riferimento</t>
  </si>
  <si>
    <t xml:space="preserve">KPI 10 - Scostamento dei costi (positivo = sfavorevole)</t>
  </si>
  <si>
    <t xml:space="preserve">KPI 10 - Scostamento dei costi %</t>
  </si>
  <si>
    <t xml:space="preserve">KPI 11 - EBITDA consuntivo</t>
  </si>
  <si>
    <t xml:space="preserve">KPI 11 - EBITDA di budget</t>
  </si>
  <si>
    <t xml:space="preserve">KPI 11 - Scostamento dell'EBITDA</t>
  </si>
  <si>
    <t xml:space="preserve">KPI 11 - Scostamento dell'EBITDA %</t>
  </si>
  <si>
    <t xml:space="preserve">Scheda 12 - Accuratezza del forecast</t>
  </si>
  <si>
    <t xml:space="preserve">Esempio della scheda KPI 12 su tre valori: WAPE, accuratezza e bias (positivo = sovrastima); capitolo 20</t>
  </si>
  <si>
    <t xml:space="preserve">KPI 12 - Consuntivo 1</t>
  </si>
  <si>
    <t xml:space="preserve">KPI 12 - Consuntivo 2</t>
  </si>
  <si>
    <t xml:space="preserve">KPI 12 - Consuntivo 3</t>
  </si>
  <si>
    <t xml:space="preserve">KPI 12 - Forecast 1</t>
  </si>
  <si>
    <t xml:space="preserve">KPI 12 - Forecast 2</t>
  </si>
  <si>
    <t xml:space="preserve">KPI 12 - Forecast 3</t>
  </si>
  <si>
    <t xml:space="preserve">KPI 12 - Somma degli errori assoluti (10 + 10 + 5)</t>
  </si>
  <si>
    <t xml:space="preserve">KPI 12 - Somma dei consuntivi in valore assoluto</t>
  </si>
  <si>
    <t xml:space="preserve">KPI 12 - WAPE</t>
  </si>
  <si>
    <t xml:space="preserve">KPI 12 - Accuratezza</t>
  </si>
  <si>
    <t xml:space="preserve">KPI 12 - Bias</t>
  </si>
  <si>
    <t xml:space="preserve">Schede 13-16 - Capitale circolante e cassa</t>
  </si>
  <si>
    <t xml:space="preserve">Esempi delle schede KPI 13-16 su 365 giorni; il ciclo di conversione della cassa riprende i giorni delle schede 13-15; capitolo 20</t>
  </si>
  <si>
    <t xml:space="preserve">Giorni del periodo</t>
  </si>
  <si>
    <t xml:space="preserve">giorni</t>
  </si>
  <si>
    <t xml:space="preserve">KPI 13 - Crediti commerciali medi</t>
  </si>
  <si>
    <t xml:space="preserve">KPI 13 - Vendite a credito dodici mesi</t>
  </si>
  <si>
    <t xml:space="preserve">KPI 13 - Giorni medi di incasso</t>
  </si>
  <si>
    <t xml:space="preserve">KPI 14 - Rimanenze medie</t>
  </si>
  <si>
    <t xml:space="preserve">KPI 14 - Costo del venduto dodici mesi</t>
  </si>
  <si>
    <t xml:space="preserve">KPI 14 - Giorni medi di giacenza</t>
  </si>
  <si>
    <t xml:space="preserve">KPI 15 - Debiti commerciali medi</t>
  </si>
  <si>
    <t xml:space="preserve">KPI 15 - Acquisti a credito dodici mesi</t>
  </si>
  <si>
    <t xml:space="preserve">KPI 15 - Giorni medi di pagamento</t>
  </si>
  <si>
    <t xml:space="preserve">KPI 16 - Ciclo di conversione della cassa</t>
  </si>
  <si>
    <t xml:space="preserve">Schede 17-20 - Vendite, prezzi e margini commerciali</t>
  </si>
  <si>
    <t xml:space="preserve">Esempi delle schede KPI 17-20; capitolo 20</t>
  </si>
  <si>
    <t xml:space="preserve">KPI 17 - Ricavi correnti</t>
  </si>
  <si>
    <t xml:space="preserve">KPI 17 - Ricavi del periodo comparabile</t>
  </si>
  <si>
    <t xml:space="preserve">KPI 17 - Tasso di crescita dei ricavi</t>
  </si>
  <si>
    <t xml:space="preserve">KPI 18 - Ricavi netti</t>
  </si>
  <si>
    <t xml:space="preserve">KPI 18 - Unità vendute</t>
  </si>
  <si>
    <t xml:space="preserve">KPI 18 - Prezzo medio di vendita</t>
  </si>
  <si>
    <t xml:space="preserve">KPI 19 - Sconti commerciali concessi</t>
  </si>
  <si>
    <t xml:space="preserve">KPI 19 - Valore lordo a listino</t>
  </si>
  <si>
    <t xml:space="preserve">KPI 19 - Incidenza degli sconti</t>
  </si>
  <si>
    <t xml:space="preserve">KPI 20 - Ricavi netti attribuibili</t>
  </si>
  <si>
    <t xml:space="preserve">KPI 20 - Costi variabili attribuibili</t>
  </si>
  <si>
    <t xml:space="preserve">KPI 20 - Margine di contribuzione dell'oggetto</t>
  </si>
  <si>
    <t xml:space="preserve">KPI 20 - Margine %</t>
  </si>
  <si>
    <t xml:space="preserve">Schede 21-24 - Capacità, produttività e qualità</t>
  </si>
  <si>
    <t xml:space="preserve">Esempi delle schede KPI 21-24; le 60 non conformi non rilavorate sono scartate o accettate in deroga; capitolo 20</t>
  </si>
  <si>
    <t xml:space="preserve">KPI 21 - Ore utilizzate</t>
  </si>
  <si>
    <t xml:space="preserve">KPI 21 - Ore di capacità pratica</t>
  </si>
  <si>
    <t xml:space="preserve">KPI 21 - Utilizzo della capacità</t>
  </si>
  <si>
    <t xml:space="preserve">KPI 22 - Unità conformi</t>
  </si>
  <si>
    <t xml:space="preserve">KPI 22 - Ore effettive</t>
  </si>
  <si>
    <t xml:space="preserve">KPI 22 - Produttività (unità per ora)</t>
  </si>
  <si>
    <t xml:space="preserve">unità/ora</t>
  </si>
  <si>
    <t xml:space="preserve">KPI 23 - Costi della configurazione</t>
  </si>
  <si>
    <t xml:space="preserve">KPI 23 - Unità equivalenti conformi</t>
  </si>
  <si>
    <t xml:space="preserve">KPI 23 - Costo unitario</t>
  </si>
  <si>
    <t xml:space="preserve">KPI 24 - Unità prodotte e controllate</t>
  </si>
  <si>
    <t xml:space="preserve">KPI 24 - Unità non conformi</t>
  </si>
  <si>
    <t xml:space="preserve">KPI 24 - Tasso di non conformità</t>
  </si>
  <si>
    <t xml:space="preserve">KPI 24 - Unità rilavorate</t>
  </si>
  <si>
    <t xml:space="preserve">KPI 24 - Tasso di rilavorazione</t>
  </si>
  <si>
    <t xml:space="preserve">Impresa guida - Saldi medi dell'esercizio (dati di input)</t>
  </si>
  <si>
    <t xml:space="preserve">Saldi di inizio e fine esercizio del paragrafo 19.3 (ipotesi del caso, al netto di IVA, 365 giorni, vendite e acquisti tutti a credito, altre poste operative nulle); paragrafo 19.3, ripresi nel 20.9 capitolo 20</t>
  </si>
  <si>
    <t xml:space="preserve">Crediti verso clienti - inizio anno</t>
  </si>
  <si>
    <t xml:space="preserve">Crediti verso clienti - fine anno</t>
  </si>
  <si>
    <t xml:space="preserve">Crediti verso clienti - media</t>
  </si>
  <si>
    <t xml:space="preserve">Scorte al costo variabile - inizio anno</t>
  </si>
  <si>
    <t xml:space="preserve">Scorte al costo variabile - fine anno</t>
  </si>
  <si>
    <t xml:space="preserve">Debiti verso fornitori - inizio anno</t>
  </si>
  <si>
    <t xml:space="preserve">Debiti verso fornitori - fine anno</t>
  </si>
  <si>
    <t xml:space="preserve">Acquisti a credito di beni e servizi</t>
  </si>
  <si>
    <t xml:space="preserve">Immobilizzazioni tecniche nette - inizio anno</t>
  </si>
  <si>
    <t xml:space="preserve">Immobilizzazioni tecniche nette - fine anno</t>
  </si>
  <si>
    <t xml:space="preserve">Ammortamento degli impianti di reparto</t>
  </si>
  <si>
    <t xml:space="preserve">capitolo 2, capitolo 20</t>
  </si>
  <si>
    <t xml:space="preserve">Capitale investito operativo medio (910.000 a inizio, 1.090.000 a fine anno)</t>
  </si>
  <si>
    <t xml:space="preserve">Impresa guida - Redditività, capitale e giorni del ciclo</t>
  </si>
  <si>
    <t xml:space="preserve">KPI dell'impresa guida calcolati nel 20.9 con i saldi medi: ROS, rotazione, ROI, giorni medi e ciclo di conversione della cassa; capitolo 20</t>
  </si>
  <si>
    <t xml:space="preserve">ROS (scheda 2)</t>
  </si>
  <si>
    <t xml:space="preserve">Rotazione del capitale investito (scheda 3)</t>
  </si>
  <si>
    <t xml:space="preserve">ROI (scheda 4)</t>
  </si>
  <si>
    <t xml:space="preserve">Controllo ROS x rotazione</t>
  </si>
  <si>
    <t xml:space="preserve">Giorni medi di incasso clienti (scheda 13)</t>
  </si>
  <si>
    <t xml:space="preserve">Giorni medi di giacenza (scheda 14, scorte al costo variabile)</t>
  </si>
  <si>
    <t xml:space="preserve">Giorni medi di pagamento fornitori (scheda 15)</t>
  </si>
  <si>
    <t xml:space="preserve">Ciclo di conversione della cassa (scheda 16)</t>
  </si>
  <si>
    <t xml:space="preserve">EBITDA margin (scheda 1) e scostamento EBITDA (scheda 11)</t>
  </si>
  <si>
    <t xml:space="preserve">N/D per scelta: il prospetto del caso è a margine di contribuzione fino al risultato operativo; si leggono ROS e scostamento del risultato operativo (capitolo 20)</t>
  </si>
  <si>
    <t xml:space="preserve">Impresa guida - Margini, pareggio e capacità</t>
  </si>
  <si>
    <t xml:space="preserve">KPI dell'impresa guida già calcolati nei capitoli 8, 9 e 19, ricalcolati dal dataset master. Il pareggio con il mix entro capacità (2.254.591 euro; 842.409 euro, 27,2%) e il margine per ora di ciascuna linea (B 76, A 42, C 17) sono nel foglio Cap_19 (lavori 13-15); i margini % per linea (A 35,0%, B 33,3%, C 17,6%) nel Cap_08; la leva 4,39 con 820.000 tutti fissi non è utilizzabile (capitolo 20); il costo pieno per linea nel Cap_07; puntualità di consegna 88,5% è un'ipotesi del caso (paragrafo 19.3); capitolo 20</t>
  </si>
  <si>
    <t xml:space="preserve">Margine unitario linea A (scheda 5)</t>
  </si>
  <si>
    <t xml:space="preserve">Margine di contribuzione % complessivo (scheda 6)</t>
  </si>
  <si>
    <t xml:space="preserve">Fatturato di pareggio, mix a domanda piena (scheda 7)</t>
  </si>
  <si>
    <t xml:space="preserve">Margine di sicurezza, mix a domanda piena (scheda 8)</t>
  </si>
  <si>
    <t xml:space="preserve">Margine di sicurezza %</t>
  </si>
  <si>
    <t xml:space="preserve">Saturazione della capacità ordinaria</t>
  </si>
  <si>
    <t xml:space="preserve">Margine per ora macchina complessivo</t>
  </si>
  <si>
    <t xml:space="preserve">Utilizzo della capacità (scheda 21)</t>
  </si>
  <si>
    <t xml:space="preserve">N/D: il caso non indica la capacità pratica del reparto; al suo posto la saturazione sulla capacità ordinaria (capitolo 20)</t>
  </si>
  <si>
    <t xml:space="preserve">Produttività per ora (scheda 22)</t>
  </si>
  <si>
    <t xml:space="preserve">N/D: il caso non registra le unità conformi; ore standard su ore effettive darebbe 100% per costruzione (capitolo 20)</t>
  </si>
  <si>
    <t xml:space="preserve">Tasso di non conformità (scheda 24)</t>
  </si>
  <si>
    <t xml:space="preserve">N/D: il caso non registra unità controllate, difetti, scarti e rilavorazioni (capitolo 20)</t>
  </si>
  <si>
    <t xml:space="preserve">Impresa guida - Budget, forecast e sconti</t>
  </si>
  <si>
    <t xml:space="preserve">Scostamenti sul budget 3.392.100 / 269.900 (capitolo 19, lavoro 15), WAPE e bias delle quattro versioni del forecast (capitolo 19, lavoro 9), incidenza degli sconti delle linee A e B. Il ponte del margine (+25.347, -5.247, -48.000, 0) è nel foglio Cap_19 (lavoro 10); la cascata della linea B (6 euro: 4,00 + 1,20 + 0,80) nel Cap_17; gli scostamenti di marzo nel Cap_14; capitolo 20</t>
  </si>
  <si>
    <t xml:space="preserve">Scostamento dei ricavi (scheda 9)</t>
  </si>
  <si>
    <t xml:space="preserve">Scostamento dei ricavi %</t>
  </si>
  <si>
    <t xml:space="preserve">Scostamento del risultato operativo (scheda 11)</t>
  </si>
  <si>
    <t xml:space="preserve">Scostamento del risultato operativo %</t>
  </si>
  <si>
    <t xml:space="preserve">Tasso di crescita dei ricavi (scheda 17)</t>
  </si>
  <si>
    <t xml:space="preserve">N/D: il dataset copre un solo esercizio chiuso, mancano i ricavi del periodo precedente; il confronto con il budget è uno scostamento (capitolo 20)</t>
  </si>
  <si>
    <t xml:space="preserve">Forecast di giugno</t>
  </si>
  <si>
    <t xml:space="preserve">capitolo 19, lavoro 9</t>
  </si>
  <si>
    <t xml:space="preserve">Forecast di luglio</t>
  </si>
  <si>
    <t xml:space="preserve">Forecast di agosto</t>
  </si>
  <si>
    <t xml:space="preserve">Forecast di settembre</t>
  </si>
  <si>
    <t xml:space="preserve">WAPE (scheda 12, consuntivo 3.386.000 per tutte le versioni)</t>
  </si>
  <si>
    <t xml:space="preserve">Accuratezza del forecast</t>
  </si>
  <si>
    <t xml:space="preserve">Bias (positivo = sovrastima)</t>
  </si>
  <si>
    <t xml:space="preserve">Linea A - prezzo di listino</t>
  </si>
  <si>
    <t xml:space="preserve">Linea A - sconto commerciale</t>
  </si>
  <si>
    <t xml:space="preserve">Incidenza sconti linea A (scheda 19)</t>
  </si>
  <si>
    <t xml:space="preserve">Linea B - prezzo di listino</t>
  </si>
  <si>
    <t xml:space="preserve">Linea B - sconto commerciale</t>
  </si>
  <si>
    <t xml:space="preserve">Incidenza sconti linea B</t>
  </si>
  <si>
    <t xml:space="preserve">Incidenza sconti dell'intera impresa</t>
  </si>
  <si>
    <t xml:space="preserve">N/D: per la linea C il caso dà listino 305 e prezzo netto 289 ma non le componenti della cascata (capitolo 20)</t>
  </si>
  <si>
    <t xml:space="preserve">Impresa guida - Dal risultato operativo alla cassa</t>
  </si>
  <si>
    <t xml:space="preserve">Raccordo risultato-cassa dell'esercizio chiuso con i saldi del 19.3 e verifica da incassi e pagamenti; il flusso è operativo, calcolato a partire dal risultato operativo; capitolo 20</t>
  </si>
  <si>
    <t xml:space="preserve">+ Ammortamento, costo senza pagamento</t>
  </si>
  <si>
    <t xml:space="preserve">- Aumento dei crediti verso clienti</t>
  </si>
  <si>
    <t xml:space="preserve">Variazione delle scorte</t>
  </si>
  <si>
    <t xml:space="preserve">Variazione dei debiti verso fornitori</t>
  </si>
  <si>
    <t xml:space="preserve">- Investimenti in immobilizzazioni tecniche</t>
  </si>
  <si>
    <t xml:space="preserve">Flusso di cassa operativo dopo gli investimenti</t>
  </si>
  <si>
    <t xml:space="preserve">Verifica - incassi dalle vendite</t>
  </si>
  <si>
    <t xml:space="preserve">Verifica - costi pagati fuori dai fornitori</t>
  </si>
  <si>
    <t xml:space="preserve">Verifica - incassi meno pagamenti ai fornitori (2.190.000) e altri costi</t>
  </si>
  <si>
    <t xml:space="preserve">Un giorno di vendite</t>
  </si>
  <si>
    <t xml:space="preserve">ESERCIZI - CLASSIFICAZIONE E COMPORTAMENTO DEI COSTI</t>
  </si>
  <si>
    <t xml:space="preserve">ID</t>
  </si>
  <si>
    <t xml:space="preserve">Contesto</t>
  </si>
  <si>
    <t xml:space="preserve">Diretto/Indiretto</t>
  </si>
  <si>
    <t xml:space="preserve">Fisso/Variabile/Misto</t>
  </si>
  <si>
    <t xml:space="preserve">Rilevante?</t>
  </si>
  <si>
    <t xml:space="preserve">Motivazione</t>
  </si>
  <si>
    <t xml:space="preserve">Livello</t>
  </si>
  <si>
    <t xml:space="preserve">Nota</t>
  </si>
  <si>
    <t xml:space="preserve">COS01</t>
  </si>
  <si>
    <t xml:space="preserve">Provvigioni agenti</t>
  </si>
  <si>
    <t xml:space="preserve">Commissioni % sulle vendite di una linea</t>
  </si>
  <si>
    <t xml:space="preserve">Base</t>
  </si>
  <si>
    <t xml:space="preserve">Dipende dalla relazione col volume</t>
  </si>
  <si>
    <t xml:space="preserve">COS02</t>
  </si>
  <si>
    <t xml:space="preserve">Canone affitto magazzino</t>
  </si>
  <si>
    <t xml:space="preserve">Canone mensile invariato entro l'intervallo di rilevanza</t>
  </si>
  <si>
    <t xml:space="preserve">Fisso entro l'intervallo di rilevanza</t>
  </si>
  <si>
    <t xml:space="preserve">COS03</t>
  </si>
  <si>
    <t xml:space="preserve">Trasporto per spedizione</t>
  </si>
  <si>
    <t xml:space="preserve">Costo per consegna cliente</t>
  </si>
  <si>
    <t xml:space="preserve">Driver: spedizioni</t>
  </si>
  <si>
    <t xml:space="preserve">COS04</t>
  </si>
  <si>
    <t xml:space="preserve">Stipendio controller</t>
  </si>
  <si>
    <t xml:space="preserve">Funzione AFC centrale</t>
  </si>
  <si>
    <t xml:space="preserve">Costo indiretto di struttura</t>
  </si>
  <si>
    <t xml:space="preserve">COS05</t>
  </si>
  <si>
    <t xml:space="preserve">Materiale di imballaggio</t>
  </si>
  <si>
    <t xml:space="preserve">Imballo usato per singolo ordine</t>
  </si>
  <si>
    <t xml:space="preserve">Possibile costo diretto/variabile</t>
  </si>
  <si>
    <t xml:space="preserve">COS06</t>
  </si>
  <si>
    <t xml:space="preserve">Ammortamento impianto</t>
  </si>
  <si>
    <t xml:space="preserve">Impianto già acquistato</t>
  </si>
  <si>
    <t xml:space="preserve">Intermedio</t>
  </si>
  <si>
    <t xml:space="preserve">Non sempre rilevante nelle decisioni brevi</t>
  </si>
  <si>
    <t xml:space="preserve">COS07</t>
  </si>
  <si>
    <t xml:space="preserve">Straordinario produzione</t>
  </si>
  <si>
    <t xml:space="preserve">Nasce da ordine aggiuntivo</t>
  </si>
  <si>
    <t xml:space="preserve">Incrementale</t>
  </si>
  <si>
    <t xml:space="preserve">COS08</t>
  </si>
  <si>
    <t xml:space="preserve">Consulenza progetto specifico</t>
  </si>
  <si>
    <t xml:space="preserve">Consulenza dedicata a nuova linea</t>
  </si>
  <si>
    <t xml:space="preserve">Direttamente attribuibile</t>
  </si>
  <si>
    <t xml:space="preserve">COS09</t>
  </si>
  <si>
    <t xml:space="preserve">Energia stabilimento</t>
  </si>
  <si>
    <t xml:space="preserve">Quota fissa + consumo</t>
  </si>
  <si>
    <t xml:space="preserve">Costo misto</t>
  </si>
  <si>
    <t xml:space="preserve">COS10</t>
  </si>
  <si>
    <t xml:space="preserve">Premio assicurativo stabilimento</t>
  </si>
  <si>
    <t xml:space="preserve">Premio annuale</t>
  </si>
  <si>
    <t xml:space="preserve">Indiretto</t>
  </si>
  <si>
    <t xml:space="preserve">COS11</t>
  </si>
  <si>
    <t xml:space="preserve">Costo già sostenuto per uno studio</t>
  </si>
  <si>
    <t xml:space="preserve">Studio concluso prima della decisione</t>
  </si>
  <si>
    <t xml:space="preserve">Operativo</t>
  </si>
  <si>
    <t xml:space="preserve">Costo sommerso</t>
  </si>
  <si>
    <t xml:space="preserve">COS12</t>
  </si>
  <si>
    <t xml:space="preserve">Margine perso su prodotto B</t>
  </si>
  <si>
    <t xml:space="preserve">Capacità dedicata al prodotto A</t>
  </si>
  <si>
    <t xml:space="preserve">Costo opportunità</t>
  </si>
  <si>
    <t xml:space="preserve">COS13</t>
  </si>
  <si>
    <t xml:space="preserve">Quota dei costi di sede allocata</t>
  </si>
  <si>
    <t xml:space="preserve">Ribaltata sul prodotto ma non evitabile</t>
  </si>
  <si>
    <t xml:space="preserve">Allocato non significa evitabile</t>
  </si>
  <si>
    <t xml:space="preserve">COS14</t>
  </si>
  <si>
    <t xml:space="preserve">Noleggio macchina extra</t>
  </si>
  <si>
    <t xml:space="preserve">Necessario solo per ordine speciale</t>
  </si>
  <si>
    <t xml:space="preserve">COS15</t>
  </si>
  <si>
    <t xml:space="preserve">Manodopera interna non riducibile</t>
  </si>
  <si>
    <t xml:space="preserve">Dipendenti restano anche in outsourcing</t>
  </si>
  <si>
    <t xml:space="preserve">Non automaticamente evitabile</t>
  </si>
  <si>
    <t xml:space="preserve">COS16</t>
  </si>
  <si>
    <t xml:space="preserve">Scarti di produzione</t>
  </si>
  <si>
    <t xml:space="preserve">Aumentano con volumi e complessità</t>
  </si>
  <si>
    <t xml:space="preserve">Driver da verificare</t>
  </si>
  <si>
    <t xml:space="preserve">COS17</t>
  </si>
  <si>
    <t xml:space="preserve">Fiera internazionale</t>
  </si>
  <si>
    <t xml:space="preserve">Costo legato a specifico mercato/campagna</t>
  </si>
  <si>
    <t xml:space="preserve">Possibile costo fisso specifico del segmento</t>
  </si>
  <si>
    <t xml:space="preserve">COS18</t>
  </si>
  <si>
    <t xml:space="preserve">Software ERP</t>
  </si>
  <si>
    <t xml:space="preserve">Licenza corporate annuale</t>
  </si>
  <si>
    <t xml:space="preserve">Struttura / indiretto</t>
  </si>
  <si>
    <t xml:space="preserve">ESERCIZI - CONTABILITÀ ANALITICA, CENTRI E ALLOCAZIONE (capitoli 5, 6, 10, 11)</t>
  </si>
  <si>
    <t xml:space="preserve">CASO 1 - IMPRESA GUIDA: ALLOCAZIONE SULLE ORE MACCHINA (capitolo 6)</t>
  </si>
  <si>
    <t xml:space="preserve">Dato</t>
  </si>
  <si>
    <t xml:space="preserve">Linea A</t>
  </si>
  <si>
    <t xml:space="preserve">Risultato</t>
  </si>
  <si>
    <t xml:space="preserve">Formula / dato</t>
  </si>
  <si>
    <t xml:space="preserve">A</t>
  </si>
  <si>
    <t xml:space="preserve">C</t>
  </si>
  <si>
    <t xml:space="preserve">Coefficiente, euro per ora macchina</t>
  </si>
  <si>
    <t xml:space="preserve">Unità prodotte</t>
  </si>
  <si>
    <t xml:space="preserve">Costo allocato</t>
  </si>
  <si>
    <t xml:space="preserve">Costi indiretti del centro Lavorazione dopo i ribaltamenti</t>
  </si>
  <si>
    <t xml:space="preserve">Quadratura</t>
  </si>
  <si>
    <t xml:space="preserve">CASO 2 - IMPRESA GUIDA: BASE ORE MACCHINA CONTRO BASE UNITÀ PRODOTTE (capitolo 6)</t>
  </si>
  <si>
    <t xml:space="preserve">Totale</t>
  </si>
  <si>
    <t xml:space="preserve">Metodo</t>
  </si>
  <si>
    <t xml:space="preserve">Ore</t>
  </si>
  <si>
    <t xml:space="preserve">Costi centro</t>
  </si>
  <si>
    <t xml:space="preserve">ESERCIZI BREVI</t>
  </si>
  <si>
    <t xml:space="preserve">Tema</t>
  </si>
  <si>
    <t xml:space="preserve">Dati</t>
  </si>
  <si>
    <t xml:space="preserve">Domanda</t>
  </si>
  <si>
    <t xml:space="preserve">Tua risposta</t>
  </si>
  <si>
    <t xml:space="preserve">Soluzione sintetica</t>
  </si>
  <si>
    <t xml:space="preserve">ANA01</t>
  </si>
  <si>
    <t xml:space="preserve">Oggetto di costo</t>
  </si>
  <si>
    <t xml:space="preserve">Un cliente premium assorbe consegne urgenti e assistenza.</t>
  </si>
  <si>
    <t xml:space="preserve">Quale oggetto di costo useresti per analizzare il costo di servizio (cost to serve)?</t>
  </si>
  <si>
    <t xml:space="preserve">Cliente / canale / ordine</t>
  </si>
  <si>
    <t xml:space="preserve">ANA02</t>
  </si>
  <si>
    <t xml:space="preserve">Driver</t>
  </si>
  <si>
    <t xml:space="preserve">Costo gestione ordini 180.000; 9.000 ordini.</t>
  </si>
  <si>
    <t xml:space="preserve">Calcola costo per ordine.</t>
  </si>
  <si>
    <t xml:space="preserve">20 euro/ordine</t>
  </si>
  <si>
    <t xml:space="preserve">ANA03</t>
  </si>
  <si>
    <t xml:space="preserve">Pool origine 250.000; allocato 244.000.</t>
  </si>
  <si>
    <t xml:space="preserve">Calcola residuo da spiegare.</t>
  </si>
  <si>
    <t xml:space="preserve">6.000 euro</t>
  </si>
  <si>
    <t xml:space="preserve">ANA04</t>
  </si>
  <si>
    <t xml:space="preserve">Costo della capacità fornita 300.000; capacità pratica 10.000 ore; ore utilizzate 8.000.</t>
  </si>
  <si>
    <t xml:space="preserve">Quale quota della capacità non è utilizzata, e quanto vale?</t>
  </si>
  <si>
    <t xml:space="preserve">20%, pari a 60.000 euro (300.000 x 2.000 / 10.000)</t>
  </si>
  <si>
    <t xml:space="preserve">ANA05</t>
  </si>
  <si>
    <t xml:space="preserve">Ribaltamento</t>
  </si>
  <si>
    <t xml:space="preserve">Centro ausiliario IT serve Produzione 70% e Commerciale 30%. Costo IT 100.000.</t>
  </si>
  <si>
    <t xml:space="preserve">Quanto va a Produzione?</t>
  </si>
  <si>
    <t xml:space="preserve">70.000</t>
  </si>
  <si>
    <t xml:space="preserve">ANA06</t>
  </si>
  <si>
    <t xml:space="preserve">Scelta base</t>
  </si>
  <si>
    <t xml:space="preserve">A usa 3 ore per unità, B 1 ora per unità. I costi dei macchinari sono la parte rilevante del centro.</t>
  </si>
  <si>
    <t xml:space="preserve">Meglio la base unità prodotte o ore macchina? Motiva.</t>
  </si>
  <si>
    <t xml:space="preserve">ESERCIZI - FULL COSTING, DIRECT COSTING, PUNTO DI PAREGGIO, ABC (capitoli 7, 8, 9, 10)</t>
  </si>
  <si>
    <t xml:space="preserve">CASO 1 - CONFIGURAZIONI PROGRESSIVE DEL COSTO (capitolo 7)</t>
  </si>
  <si>
    <t xml:space="preserve">Euro/unità</t>
  </si>
  <si>
    <t xml:space="preserve">Indiretti produzione</t>
  </si>
  <si>
    <t xml:space="preserve">Costo complessivo di 5.000 unità (quantità ipotizzata nel file)</t>
  </si>
  <si>
    <t xml:space="preserve">CASO 2 - DIRECT COSTING E SECONDO MARGINE (capitolo 8)</t>
  </si>
  <si>
    <t xml:space="preserve">Margine di contribuzione percentuale</t>
  </si>
  <si>
    <t xml:space="preserve">CASO 3 - PUNTO DI PAREGGIO (capitolo 9)</t>
  </si>
  <si>
    <t xml:space="preserve">Punto di pareggio in unità</t>
  </si>
  <si>
    <t xml:space="preserve">Volume per l'utile obiettivo (unità)</t>
  </si>
  <si>
    <t xml:space="preserve">Margine di sicurezza percentuale a 7.000 unità</t>
  </si>
  <si>
    <t xml:space="preserve">CASO 4 - ACTIVITY BASED COSTING (capitolo 10)</t>
  </si>
  <si>
    <t xml:space="preserve">Attività</t>
  </si>
  <si>
    <t xml:space="preserve">Costo pool</t>
  </si>
  <si>
    <t xml:space="preserve">Driver totali</t>
  </si>
  <si>
    <t xml:space="preserve">Prodotto A driver</t>
  </si>
  <si>
    <t xml:space="preserve">Prodotto B driver</t>
  </si>
  <si>
    <t xml:space="preserve">Costo per unità di driver</t>
  </si>
  <si>
    <t xml:space="preserve">Costo A</t>
  </si>
  <si>
    <t xml:space="preserve">Costo B</t>
  </si>
  <si>
    <t xml:space="preserve">Attrezzaggi</t>
  </si>
  <si>
    <t xml:space="preserve">Controllo qualità</t>
  </si>
  <si>
    <t xml:space="preserve">ESERCIZI - BUDGET, FORECAST E ANALISI DEGLI SCOSTAMENTI</t>
  </si>
  <si>
    <t xml:space="preserve">CASO 1 - BUDGET DELLE VENDITE, DELLA PRODUZIONE E DEI MATERIALI (capitolo 13)</t>
  </si>
  <si>
    <t xml:space="preserve">Gen</t>
  </si>
  <si>
    <t xml:space="preserve">Feb</t>
  </si>
  <si>
    <t xml:space="preserve">Mar</t>
  </si>
  <si>
    <t xml:space="preserve">Apr</t>
  </si>
  <si>
    <t xml:space="preserve">Vendite in unità</t>
  </si>
  <si>
    <t xml:space="preserve">Scorta finale</t>
  </si>
  <si>
    <t xml:space="preserve">Scorta finale target % vendite mese successivo</t>
  </si>
  <si>
    <t xml:space="preserve">Materiale per unità (kg)</t>
  </si>
  <si>
    <t xml:space="preserve">Fabbisogno materiale</t>
  </si>
  <si>
    <t xml:space="preserve">CASO 2 - BUDGET E CONSUNTIVO (capitolo 14)</t>
  </si>
  <si>
    <t xml:space="preserve">Budget</t>
  </si>
  <si>
    <t xml:space="preserve">Consuntivo</t>
  </si>
  <si>
    <t xml:space="preserve">Scostamento (consuntivo - budget)</t>
  </si>
  <si>
    <t xml:space="preserve">Scostamento %</t>
  </si>
  <si>
    <t xml:space="preserve">F / S</t>
  </si>
  <si>
    <t xml:space="preserve">Volume in unità</t>
  </si>
  <si>
    <t xml:space="preserve">Informativo</t>
  </si>
  <si>
    <t xml:space="preserve">Favorevole</t>
  </si>
  <si>
    <t xml:space="preserve">Sfavorevole</t>
  </si>
  <si>
    <t xml:space="preserve">CASO 3 - SCOSTAMENTI DI PREZZO E DI VOLUME (capitolo 14)</t>
  </si>
  <si>
    <t xml:space="preserve">Unità di misura</t>
  </si>
  <si>
    <t xml:space="preserve">Analisi</t>
  </si>
  <si>
    <t xml:space="preserve">Scostamento volume dei ricavi</t>
  </si>
  <si>
    <t xml:space="preserve">Scostamento prezzo dei ricavi</t>
  </si>
  <si>
    <t xml:space="preserve">Scostamento totale dei ricavi</t>
  </si>
  <si>
    <t xml:space="preserve">Effetto volume sui costi variabili (minor costo, non F né S di per sé)</t>
  </si>
  <si>
    <t xml:space="preserve">Scostamento del costo variabile unitario (S)</t>
  </si>
  <si>
    <t xml:space="preserve">ESERCIZI - COSTI RILEVANTI, MAKE OR BUY, PRICING, CAPACITÀ E MIX (capitoli 15, 16, 17, 18)</t>
  </si>
  <si>
    <t xml:space="preserve">CASO 1 - ORDINE SPECIALE CON CAPACITÀ LIBERA (capitolo 15)</t>
  </si>
  <si>
    <t xml:space="preserve">Prezzo ordine speciale</t>
  </si>
  <si>
    <t xml:space="preserve">Ricavi differenziali</t>
  </si>
  <si>
    <t xml:space="preserve">Costi differenziali</t>
  </si>
  <si>
    <t xml:space="preserve">Costo fisso incrementale</t>
  </si>
  <si>
    <t xml:space="preserve">Decisione economica</t>
  </si>
  <si>
    <t xml:space="preserve">Capacità libera?</t>
  </si>
  <si>
    <t xml:space="preserve">SI</t>
  </si>
  <si>
    <t xml:space="preserve">Costo opportunità unitario</t>
  </si>
  <si>
    <t xml:space="preserve">CASO 2 - MAKE OR BUY (capitolo 16)</t>
  </si>
  <si>
    <t xml:space="preserve">Buy</t>
  </si>
  <si>
    <t xml:space="preserve">Materiali / prezzo fornitore</t>
  </si>
  <si>
    <t xml:space="preserve">Totale Make</t>
  </si>
  <si>
    <t xml:space="preserve">Lavoro evitabile</t>
  </si>
  <si>
    <t xml:space="preserve">Totale Buy</t>
  </si>
  <si>
    <t xml:space="preserve">Variabili indiretti</t>
  </si>
  <si>
    <t xml:space="preserve">Differenza Buy-Make</t>
  </si>
  <si>
    <t xml:space="preserve">Fissi evitabili</t>
  </si>
  <si>
    <t xml:space="preserve">Decisione</t>
  </si>
  <si>
    <t xml:space="preserve">Trasporto e controlli</t>
  </si>
  <si>
    <t xml:space="preserve">Costo opportunità (margine della capacità liberata, ipotesi del file)</t>
  </si>
  <si>
    <t xml:space="preserve">CASO 3 - RICARICO SUL COSTO (MARKUP) E MARGINE SUL PREZZO (capitolo 17)</t>
  </si>
  <si>
    <t xml:space="preserve">Prezzo con ricarico sul costo (markup)</t>
  </si>
  <si>
    <t xml:space="preserve">Ricarico sul costo (markup) obiettivo</t>
  </si>
  <si>
    <t xml:space="preserve">Margine sul prezzo risultante</t>
  </si>
  <si>
    <t xml:space="preserve">Margine sul prezzo obiettivo</t>
  </si>
  <si>
    <t xml:space="preserve">Prezzo con margine sul prezzo obiettivo</t>
  </si>
  <si>
    <t xml:space="preserve">Ricarico sul costo (markup) risultante</t>
  </si>
  <si>
    <t xml:space="preserve">CASO 4 - SCONTO E VOLUME NECESSARIO (capitolo 17)</t>
  </si>
  <si>
    <t xml:space="preserve">Prezzo base</t>
  </si>
  <si>
    <t xml:space="preserve">Volume base</t>
  </si>
  <si>
    <t xml:space="preserve">Nuovo prezzo</t>
  </si>
  <si>
    <t xml:space="preserve">Nuovo margine unitario</t>
  </si>
  <si>
    <t xml:space="preserve">Volume necessario</t>
  </si>
  <si>
    <t xml:space="preserve">Incremento volume %</t>
  </si>
  <si>
    <t xml:space="preserve">CASO 5 - IMPRESA GUIDA: MIX CON VINCOLO DI CAPACITÀ (capitolo 18)</t>
  </si>
  <si>
    <t xml:space="preserve">Linea</t>
  </si>
  <si>
    <t xml:space="preserve">Ore/unità</t>
  </si>
  <si>
    <t xml:space="preserve">Margine per ora macchina</t>
  </si>
  <si>
    <t xml:space="preserve">Domanda max</t>
  </si>
  <si>
    <t xml:space="preserve">Ore richieste</t>
  </si>
  <si>
    <t xml:space="preserve">Priorità</t>
  </si>
  <si>
    <t xml:space="preserve">Quantità assegnata (unità)</t>
  </si>
  <si>
    <t xml:space="preserve">Capacità ordinaria (ore macchina)</t>
  </si>
  <si>
    <t xml:space="preserve">ESERCIZI - IA APPLICATA AL CONTROLLO DI GESTIONE</t>
  </si>
  <si>
    <t xml:space="preserve">Questi esercizi applicano il protocollo del paragrafo 19.3: perimetro, dati, formule, controlli, quadrature e validazione. Non trasformare mai ipotesi in dati certi.</t>
  </si>
  <si>
    <t xml:space="preserve">Scenario</t>
  </si>
  <si>
    <t xml:space="preserve">Compito</t>
  </si>
  <si>
    <t xml:space="preserve">Risultato atteso</t>
  </si>
  <si>
    <t xml:space="preserve">Errore da evitare</t>
  </si>
  <si>
    <t xml:space="preserve">Controllo obbligatorio</t>
  </si>
  <si>
    <t xml:space="preserve">Collegamento al libro</t>
  </si>
  <si>
    <t xml:space="preserve">IA01</t>
  </si>
  <si>
    <t xml:space="preserve">Richiesta professionale</t>
  </si>
  <si>
    <t xml:space="preserve">Bilancio Alfa 2024 allegato</t>
  </si>
  <si>
    <t xml:space="preserve">Scrivi un prompt che chieda analisi 2024 e 2023 senza inventare dati.</t>
  </si>
  <si>
    <t xml:space="preserve">Richiesta con ruolo, perimetro e periodo, formato del risultato, controlli obbligatori, divieto di inventare e regola di arresto (par. 19.3).</t>
  </si>
  <si>
    <t xml:space="preserve">Richiesta generica: «analizza il bilancio».</t>
  </si>
  <si>
    <t xml:space="preserve">Citare fonte/prospetto di ogni numero.</t>
  </si>
  <si>
    <t xml:space="preserve">Capitolo 19, par. 19.3; richiesta 16</t>
  </si>
  <si>
    <t xml:space="preserve">IA02</t>
  </si>
  <si>
    <t xml:space="preserve">Dati mancanti</t>
  </si>
  <si>
    <t xml:space="preserve">Richiesta di break-even da bilancio civilistico</t>
  </si>
  <si>
    <t xml:space="preserve">Chiedi all'IA di spiegare cosa manca e quali dati interni servono.</t>
  </si>
  <si>
    <t xml:space="preserve">Elenco costi fissi, variabili, volumi e prezzi.</t>
  </si>
  <si>
    <t xml:space="preserve">Calcolare il punto di pareggio inventando la classificazione fra costi fissi e variabili.</t>
  </si>
  <si>
    <t xml:space="preserve">Regola di arresto: FAIL se i dati non bastano.</t>
  </si>
  <si>
    <t xml:space="preserve">Capitoli 9 e 19 (lavoro 14)</t>
  </si>
  <si>
    <t xml:space="preserve">IA03</t>
  </si>
  <si>
    <t xml:space="preserve">Full Costing e Direct Costing</t>
  </si>
  <si>
    <t xml:space="preserve">Bilancio Alfa</t>
  </si>
  <si>
    <t xml:space="preserve">Chiedi all'IA di distinguere dati disponibili e dati necessari.</t>
  </si>
  <si>
    <t xml:space="preserve">Tabella disponibile / mancante.</t>
  </si>
  <si>
    <t xml:space="preserve">Usare costi CE come costi variabili senza prova.</t>
  </si>
  <si>
    <t xml:space="preserve">Esplicitare assunzioni.</t>
  </si>
  <si>
    <t xml:space="preserve">Capitoli 7, 8 e 19 (lavoro 7)</t>
  </si>
  <si>
    <t xml:space="preserve">IA04</t>
  </si>
  <si>
    <t xml:space="preserve">Riconciliazione</t>
  </si>
  <si>
    <t xml:space="preserve">Riclassificazione CE</t>
  </si>
  <si>
    <t xml:space="preserve">Chiedi all'IA di mostrare come EBITDA, EBIT, risultato ante imposte e utile si riconciliano.</t>
  </si>
  <si>
    <t xml:space="preserve">Ponte numerico completo.</t>
  </si>
  <si>
    <t xml:space="preserve">Totali non riconciliati.</t>
  </si>
  <si>
    <t xml:space="preserve">Somma delle componenti uguale alla variazione totale (PASS, WARN o FAIL).</t>
  </si>
  <si>
    <t xml:space="preserve">Capitoli 1, 20 e 19; richiesta 17</t>
  </si>
  <si>
    <t xml:space="preserve">IA05</t>
  </si>
  <si>
    <t xml:space="preserve">Classificazione costi</t>
  </si>
  <si>
    <t xml:space="preserve">Dettaglio servizi Alfa</t>
  </si>
  <si>
    <t xml:space="preserve">Chiedi classificazione con colonne certezza e dato mancante.</t>
  </si>
  <si>
    <t xml:space="preserve">Risultato prudente e verificabile.</t>
  </si>
  <si>
    <t xml:space="preserve">Trasformare ipotesi in fatti.</t>
  </si>
  <si>
    <t xml:space="preserve">Campione manuale sulle voci ambigue.</t>
  </si>
  <si>
    <t xml:space="preserve">Capitoli 3 e 19 (lavoro 1)</t>
  </si>
  <si>
    <t xml:space="preserve">IA06</t>
  </si>
  <si>
    <t xml:space="preserve">Make or Buy</t>
  </si>
  <si>
    <t xml:space="preserve">Alfa valuta di affidare a un terzista una lavorazione oggi interna</t>
  </si>
  <si>
    <t xml:space="preserve">Chiedi di costruire modello decisionale senza decidere in assenza di dati Make.</t>
  </si>
  <si>
    <t xml:space="preserve">Matrice costi/benefici e dati mancanti.</t>
  </si>
  <si>
    <t xml:space="preserve">Inventare un costo interno.</t>
  </si>
  <si>
    <t xml:space="preserve">Nessuna conclusione senza i dati del Make.</t>
  </si>
  <si>
    <t xml:space="preserve">Capitoli 16 e 19 (lavoro 11)</t>
  </si>
  <si>
    <t xml:space="preserve">IA07</t>
  </si>
  <si>
    <t xml:space="preserve">Pricing</t>
  </si>
  <si>
    <t xml:space="preserve">Ricavi per canale forniti dall'ufficio commerciale, quantità e prezzi unitari no</t>
  </si>
  <si>
    <t xml:space="preserve">Chiedi che cosa si può e non si può ricavare sul prezzo.</t>
  </si>
  <si>
    <t xml:space="preserve">Limiti chiari + dataset richiesto.</t>
  </si>
  <si>
    <t xml:space="preserve">Calcolare un prezzo medio senza le quantità.</t>
  </si>
  <si>
    <t xml:space="preserve">Verificare denominatori.</t>
  </si>
  <si>
    <t xml:space="preserve">Capitoli 17 e 19 (lavoro 12)</t>
  </si>
  <si>
    <t xml:space="preserve">IA08</t>
  </si>
  <si>
    <t xml:space="preserve">Utile e cassa</t>
  </si>
  <si>
    <t xml:space="preserve">Rendiconto finanziario Alfa</t>
  </si>
  <si>
    <t xml:space="preserve">Chiedi di spiegare perché l'utile è diverso dalla cassa.</t>
  </si>
  <si>
    <t xml:space="preserve">Ponte: utile, flusso operativo, variazione delle disponibilità liquide.</t>
  </si>
  <si>
    <t xml:space="preserve">Cambiare i segni del rendiconto finanziario.</t>
  </si>
  <si>
    <t xml:space="preserve">Cassa iniziale + variazione = cassa finale (PASS, WARN o FAIL).</t>
  </si>
  <si>
    <t xml:space="preserve">Capitoli 1, 20 e 19; richiesta 21</t>
  </si>
  <si>
    <t xml:space="preserve">IA09</t>
  </si>
  <si>
    <t xml:space="preserve">ABC</t>
  </si>
  <si>
    <t xml:space="preserve">Bilancio + modello business</t>
  </si>
  <si>
    <t xml:space="preserve">Chiedi possibili attività e driver senza attribuire importi non supportati.</t>
  </si>
  <si>
    <t xml:space="preserve">Mappa attività - driver - dati.</t>
  </si>
  <si>
    <t xml:space="preserve">Allocazioni arbitrarie.</t>
  </si>
  <si>
    <t xml:space="preserve">Driver devono avere fonte dati.</t>
  </si>
  <si>
    <t xml:space="preserve">Capitoli 10 e 19 (lavoro 5)</t>
  </si>
  <si>
    <t xml:space="preserve">IA10</t>
  </si>
  <si>
    <t xml:space="preserve">Validazione del risultato</t>
  </si>
  <si>
    <t xml:space="preserve">Risultato dello strumento con un numero non presente nel file</t>
  </si>
  <si>
    <t xml:space="preserve">Definisci come individuare e gestire l'invenzione (allucinazione).</t>
  </si>
  <si>
    <t xml:space="preserve">Registro delle eccezioni ed esito FAIL.</t>
  </si>
  <si>
    <t xml:space="preserve">Accettare numero plausibile.</t>
  </si>
  <si>
    <t xml:space="preserve">Si risale al dato di origine (riga e colonna) o il numero si elimina.</t>
  </si>
  <si>
    <t xml:space="preserve">Capitolo 19, par. 19.3 e 19.6</t>
  </si>
  <si>
    <t xml:space="preserve">ESERCIZI SUL BILANCIO - DAL DATO ALL'ANALISI</t>
  </si>
  <si>
    <t xml:space="preserve">Usare il foglio Bilancio_Alfa_2024. Le celle «Tua risposta» sono da compilare. Le soluzioni sono nel foglio Soluzioni_Esercizi.</t>
  </si>
  <si>
    <t xml:space="preserve">Capitolo</t>
  </si>
  <si>
    <t xml:space="preserve">Dati / contesto</t>
  </si>
  <si>
    <t xml:space="preserve">Suggerimento</t>
  </si>
  <si>
    <t xml:space="preserve">Fonte</t>
  </si>
  <si>
    <t xml:space="preserve">BIL01</t>
  </si>
  <si>
    <t xml:space="preserve">Variazione ricavi</t>
  </si>
  <si>
    <t xml:space="preserve">Ricavi 2024 = 13.426.380; Ricavi 2023 = 12.743.915</t>
  </si>
  <si>
    <t xml:space="preserve">Calcola la crescita % dei ricavi.</t>
  </si>
  <si>
    <t xml:space="preserve">(2024/2023)-1</t>
  </si>
  <si>
    <t xml:space="preserve">Alfa 2024</t>
  </si>
  <si>
    <t xml:space="preserve">BIL02</t>
  </si>
  <si>
    <t xml:space="preserve">Variazione dell'utile netto</t>
  </si>
  <si>
    <t xml:space="preserve">Utile 2024 = 643.265; Utile 2023 = 596.110</t>
  </si>
  <si>
    <t xml:space="preserve">Calcola la variazione assoluta dell'utile netto.</t>
  </si>
  <si>
    <t xml:space="preserve">2024-2023</t>
  </si>
  <si>
    <t xml:space="preserve">BIL03</t>
  </si>
  <si>
    <t xml:space="preserve">Incidenza magazzino</t>
  </si>
  <si>
    <t xml:space="preserve">Rimanenze 2024 = 2.487.310; Ricavi 2024 = 13.426.380</t>
  </si>
  <si>
    <t xml:space="preserve">Calcola Rimanenze / Ricavi.</t>
  </si>
  <si>
    <t xml:space="preserve">Rimanenze/Ricavi</t>
  </si>
  <si>
    <t xml:space="preserve">BIL04</t>
  </si>
  <si>
    <t xml:space="preserve">ROS (EBIT / ricavi)</t>
  </si>
  <si>
    <t xml:space="preserve">EBIT 2024 = 1.099.110; Ricavi 2024 = 13.426.380</t>
  </si>
  <si>
    <t xml:space="preserve">Calcola il ROS, cioè EBIT / ricavi delle vendite.</t>
  </si>
  <si>
    <t xml:space="preserve">EBIT/Ricavi</t>
  </si>
  <si>
    <t xml:space="preserve">BIL05</t>
  </si>
  <si>
    <t xml:space="preserve">Margine netto</t>
  </si>
  <si>
    <t xml:space="preserve">Utile 2024 = 643.265; Ricavi 2024 = 13.426.380</t>
  </si>
  <si>
    <t xml:space="preserve">Calcola il margine netto, cioè utile netto / ricavi delle vendite.</t>
  </si>
  <si>
    <t xml:space="preserve">Utile/Ricavi</t>
  </si>
  <si>
    <t xml:space="preserve">BIL06</t>
  </si>
  <si>
    <t xml:space="preserve">Debiti verso banche su patrimonio netto</t>
  </si>
  <si>
    <t xml:space="preserve">Debiti banche = 2.126.480; Patrimonio netto = 4.860.050</t>
  </si>
  <si>
    <t xml:space="preserve">Calcola il rapporto debiti bancari / patrimonio netto.</t>
  </si>
  <si>
    <t xml:space="preserve">Debiti verso banche / patrimonio netto</t>
  </si>
  <si>
    <t xml:space="preserve">BIL07</t>
  </si>
  <si>
    <t xml:space="preserve">Cassa e utile</t>
  </si>
  <si>
    <t xml:space="preserve">Utile = 643.265; incremento cassa = 165.055</t>
  </si>
  <si>
    <t xml:space="preserve">L'aumento delle disponibilità liquide è maggiore o minore dell'utile? Di quanto?</t>
  </si>
  <si>
    <t xml:space="preserve">Variazione della liquidità - utile</t>
  </si>
  <si>
    <t xml:space="preserve">BIL08</t>
  </si>
  <si>
    <t xml:space="preserve">Capitale circolante - rimanenze</t>
  </si>
  <si>
    <t xml:space="preserve">Incremento rimanenze nel rendiconto finanziario = 272.640</t>
  </si>
  <si>
    <t xml:space="preserve">Indica l'effetto sulla cassa dell'aumento rimanenze.</t>
  </si>
  <si>
    <t xml:space="preserve">L'incremento scorte assorbe cassa</t>
  </si>
  <si>
    <t xml:space="preserve">BIL09</t>
  </si>
  <si>
    <t xml:space="preserve">Capitale circolante - debiti verso fornitori</t>
  </si>
  <si>
    <t xml:space="preserve">Incremento debiti verso fornitori nel rendiconto finanziario = 131.365</t>
  </si>
  <si>
    <t xml:space="preserve">Indica l'effetto sulla cassa dell'aumento fornitori.</t>
  </si>
  <si>
    <t xml:space="preserve">L'aumento dei debiti fornitori genera cassa</t>
  </si>
  <si>
    <t xml:space="preserve">BIL10</t>
  </si>
  <si>
    <t xml:space="preserve">Analisi struttura costi</t>
  </si>
  <si>
    <t xml:space="preserve">Materie 5.912.640; Servizi 2.861.475; Personale 3.017.925</t>
  </si>
  <si>
    <t xml:space="preserve">Quale voce pesa di più sui costi della produzione?</t>
  </si>
  <si>
    <t xml:space="preserve">testo</t>
  </si>
  <si>
    <t xml:space="preserve">Confronta gli importi</t>
  </si>
  <si>
    <t xml:space="preserve">BIL11</t>
  </si>
  <si>
    <t xml:space="preserve">Marginalità</t>
  </si>
  <si>
    <t xml:space="preserve">Ricavi +5,36%; EBITDA +8,61% (1.647.340 contro 1.516.780); EBITDA margin dall'11,90% al 12,27%</t>
  </si>
  <si>
    <t xml:space="preserve">Che segnale gestionale emerge?</t>
  </si>
  <si>
    <t xml:space="preserve">L'EBITDA cresce più dei ricavi</t>
  </si>
  <si>
    <t xml:space="preserve">BIL12</t>
  </si>
  <si>
    <t xml:space="preserve">Liquidità</t>
  </si>
  <si>
    <t xml:space="preserve">Disponibilità liquide 2024 1.292.445 contro 2023 1.127.390</t>
  </si>
  <si>
    <t xml:space="preserve">Calcola la crescita % delle disponibilità liquide.</t>
  </si>
  <si>
    <t xml:space="preserve">2024/2023-1</t>
  </si>
  <si>
    <t xml:space="preserve">BIL13</t>
  </si>
  <si>
    <t xml:space="preserve">Magazzino</t>
  </si>
  <si>
    <t xml:space="preserve">Rimanenze 2024 2.487.310 contro 2023 2.214.670</t>
  </si>
  <si>
    <t xml:space="preserve">Calcola la variazione assoluta.</t>
  </si>
  <si>
    <t xml:space="preserve">BIL14</t>
  </si>
  <si>
    <t xml:space="preserve">Fornitori</t>
  </si>
  <si>
    <t xml:space="preserve">Debiti verso fornitori 2024 2.694.580 contro 2023 2.563.215</t>
  </si>
  <si>
    <t xml:space="preserve">Calcola la crescita % dei debiti fornitori.</t>
  </si>
  <si>
    <t xml:space="preserve">BIL15</t>
  </si>
  <si>
    <t xml:space="preserve">Totale attivo 11.449.440; Totale passivo e netto 11.449.440</t>
  </si>
  <si>
    <t xml:space="preserve">Qual è la differenza di quadratura?</t>
  </si>
  <si>
    <t xml:space="preserve">Attivo - Passivo e netto</t>
  </si>
  <si>
    <t xml:space="preserve">SOLUZIONI DEGLI ESERCIZI</t>
  </si>
  <si>
    <t xml:space="preserve">Soluzioni sintetiche. Per i casi strutturati, le formule complete sono direttamente nei fogli esercizio.</t>
  </si>
  <si>
    <t xml:space="preserve">Risposta / soluzione</t>
  </si>
  <si>
    <t xml:space="preserve">Formula</t>
  </si>
  <si>
    <t xml:space="preserve">Interpretazione</t>
  </si>
  <si>
    <t xml:space="preserve">Tipo</t>
  </si>
  <si>
    <t xml:space="preserve">5,36%</t>
  </si>
  <si>
    <t xml:space="preserve">Ricavi in crescita.</t>
  </si>
  <si>
    <t xml:space="preserve">Calcolo</t>
  </si>
  <si>
    <t xml:space="preserve">47.155 euro</t>
  </si>
  <si>
    <t xml:space="preserve">Utile netto in aumento.</t>
  </si>
  <si>
    <t xml:space="preserve">18,53%</t>
  </si>
  <si>
    <t xml:space="preserve">Magazzino pari a poco meno di un quinto dei ricavi.</t>
  </si>
  <si>
    <t xml:space="preserve">8,19%</t>
  </si>
  <si>
    <t xml:space="preserve">ROS positivo, in miglioramento (7,81% nel 2023).</t>
  </si>
  <si>
    <t xml:space="preserve">4,79%</t>
  </si>
  <si>
    <t xml:space="preserve">Margine netto.</t>
  </si>
  <si>
    <t xml:space="preserve">43,75%</t>
  </si>
  <si>
    <t xml:space="preserve">Debiti verso banche pari a meno della metà del patrimonio netto, in calo rispetto al 2023.</t>
  </si>
  <si>
    <t xml:space="preserve">-478.210 euro (minore)</t>
  </si>
  <si>
    <t xml:space="preserve">La cassa cresce meno dell'utile: la gestione operativa genera più dell'utile, ma gli investimenti in impianti e il rimborso dei debiti bancari ne assorbono gran parte.</t>
  </si>
  <si>
    <t xml:space="preserve">-272.640 euro</t>
  </si>
  <si>
    <t xml:space="preserve">Rendiconto finanziario: incremento rimanenze</t>
  </si>
  <si>
    <t xml:space="preserve">Aumento scorte assorbe cassa.</t>
  </si>
  <si>
    <t xml:space="preserve">Concetto</t>
  </si>
  <si>
    <t xml:space="preserve">+131.365 euro</t>
  </si>
  <si>
    <t xml:space="preserve">Rendiconto finanziario: incremento debiti verso fornitori</t>
  </si>
  <si>
    <t xml:space="preserve">Aumento debiti fornitori genera cassa.</t>
  </si>
  <si>
    <t xml:space="preserve">Materie prime / merci</t>
  </si>
  <si>
    <t xml:space="preserve">5.912.640 &gt; 3.017.925 &gt; 2.861.475</t>
  </si>
  <si>
    <t xml:space="preserve">Principale voce di costo; il personale supera i servizi perché la produzione è interna.</t>
  </si>
  <si>
    <t xml:space="preserve">Marginalità operativa in miglioramento</t>
  </si>
  <si>
    <t xml:space="preserve">Ricavi +5,36%; EBITDA +8,61%; EBITDA margin dall'11,90% al 12,27%</t>
  </si>
  <si>
    <t xml:space="preserve">L'EBITDA cresce dell'8,61%, più dei ricavi: il margine migliora.</t>
  </si>
  <si>
    <t xml:space="preserve">14,64%</t>
  </si>
  <si>
    <t xml:space="preserve">Liquidità cresciuta del 14,6%.</t>
  </si>
  <si>
    <t xml:space="preserve">272.640 euro</t>
  </si>
  <si>
    <t xml:space="preserve">Aumento del magazzino, più rapido di quello dei ricavi.</t>
  </si>
  <si>
    <t xml:space="preserve">5,13%</t>
  </si>
  <si>
    <t xml:space="preserve">Crescita contenuta dei debiti fornitori.</t>
  </si>
  <si>
    <t xml:space="preserve">0 euro</t>
  </si>
  <si>
    <t xml:space="preserve">Bilancio quadrato.</t>
  </si>
  <si>
    <t xml:space="preserve">Il cliente (oppure il canale o l'ordine)</t>
  </si>
  <si>
    <t xml:space="preserve">Oggetto finale: il cliente</t>
  </si>
  <si>
    <t xml:space="preserve">Consegne urgenti e assistenza sono attività che il cliente consuma: con i driver (consegne, ore di assistenza) si misura il costo di servizio e il margine del cliente.</t>
  </si>
  <si>
    <t xml:space="preserve">capitoli 5 e 11</t>
  </si>
  <si>
    <t xml:space="preserve">Tariffa driver.</t>
  </si>
  <si>
    <t xml:space="preserve">Esempio numerico</t>
  </si>
  <si>
    <t xml:space="preserve">Residuo da spiegare.</t>
  </si>
  <si>
    <t xml:space="preserve">20% (60.000 euro)</t>
  </si>
  <si>
    <t xml:space="preserve">Capacità inutilizzata: 2.000 ore, 60.000 euro.</t>
  </si>
  <si>
    <t xml:space="preserve">70.000 euro</t>
  </si>
  <si>
    <t xml:space="preserve">Ribaltamento al centro Produzione.</t>
  </si>
  <si>
    <t xml:space="preserve">Base più rappresentativa</t>
  </si>
  <si>
    <t xml:space="preserve">Le ore riflettono il diverso assorbimento.</t>
  </si>
  <si>
    <t xml:space="preserve">Diretto; Variabile; Rilevante</t>
  </si>
  <si>
    <t xml:space="preserve">Commissione in % sulle vendite della linea</t>
  </si>
  <si>
    <t xml:space="preserve">Si attribuisce alla linea senza ripartizioni e segue i ricavi: è rilevante in ogni decisione che cambia le vendite della linea.</t>
  </si>
  <si>
    <t xml:space="preserve">capitoli 3, 4 e 15</t>
  </si>
  <si>
    <t xml:space="preserve">Oggetto di costo: la linea (o l'ordine indicato nel contesto); decisione di breve periodo.</t>
  </si>
  <si>
    <t xml:space="preserve">Indiretto; Fisso; Irrilevante</t>
  </si>
  <si>
    <t xml:space="preserve">Canone invariato entro l'intervallo di rilevanza</t>
  </si>
  <si>
    <t xml:space="preserve">Serve tutte le linee; non cambia finché si resta nell'intervallo di rilevanza e nelle decisioni di breve periodo resta identico in ogni alternativa.</t>
  </si>
  <si>
    <t xml:space="preserve">capitoli 3 e 4</t>
  </si>
  <si>
    <t xml:space="preserve">Driver: numero di consegne</t>
  </si>
  <si>
    <t xml:space="preserve">Diretto rispetto alla consegna e al cliente; varia con le consegne, non con le unità contenute nella consegna; cambia se la decisione cambia le consegne.</t>
  </si>
  <si>
    <t xml:space="preserve">capitoli 4, 10 e 11</t>
  </si>
  <si>
    <t xml:space="preserve">Costo di struttura della funzione centrale</t>
  </si>
  <si>
    <t xml:space="preserve">Sostiene tutte le linee; ruolo stabile, non cambia con i volumi né con la scelta su una linea.</t>
  </si>
  <si>
    <t xml:space="preserve">Consumo misurato per ordine</t>
  </si>
  <si>
    <t xml:space="preserve">Si misura sull'ordine che lo consuma e cresce con gli ordini: è un costo differenziale.</t>
  </si>
  <si>
    <t xml:space="preserve">Indiretto rispetto ai prodotti, diretto rispetto al reparto; la quota annua non cambia con i volumi e l'acquisto è già avvenuto: nelle decisioni brevi non entra.</t>
  </si>
  <si>
    <t xml:space="preserve">capitoli 3, 15 e 16</t>
  </si>
  <si>
    <t xml:space="preserve">Nasce solo con l'ordine aggiuntivo</t>
  </si>
  <si>
    <t xml:space="preserve">Si attribuisce all'ordine che lo genera e cresce con le ore richieste: è un costo incrementale.</t>
  </si>
  <si>
    <t xml:space="preserve">Diretto; Fisso; Rilevante</t>
  </si>
  <si>
    <t xml:space="preserve">Costo fisso specifico della nuova linea</t>
  </si>
  <si>
    <t xml:space="preserve">Esiste solo per la nuova linea e non varia con i volumi; cessa se la linea non si avvia, quindi entra nella decisione.</t>
  </si>
  <si>
    <t xml:space="preserve">capitoli 8 e 15</t>
  </si>
  <si>
    <t xml:space="preserve">Indiretto; Misto; Dipende</t>
  </si>
  <si>
    <t xml:space="preserve">Serve più prodotti; è rilevante solo la parte a consumo che cambia con la decisione, non il canone fisso.</t>
  </si>
  <si>
    <t xml:space="preserve">Premio annuale dello stabilimento</t>
  </si>
  <si>
    <t xml:space="preserve">Copre tutto lo stabilimento e non cambia con i volumi né con la scelta di breve periodo.</t>
  </si>
  <si>
    <t xml:space="preserve">Dipende; Fisso; Irrilevante</t>
  </si>
  <si>
    <t xml:space="preserve">La riferibilità dipende dall'oggetto dello studio; il costo non varia con l'attività ed è già sostenuto e non recuperabile.</t>
  </si>
  <si>
    <t xml:space="preserve">capitoli 3 e 15</t>
  </si>
  <si>
    <t xml:space="preserve">Dipende; Variabile; Rilevante</t>
  </si>
  <si>
    <t xml:space="preserve">Non è un costo contabile: nel confronto si imputa all'alternativa che usa la capacità (A); cresce con la capacità tolta a B e conta perché la risorsa è scarsa.</t>
  </si>
  <si>
    <t xml:space="preserve">capitoli 15 e 18</t>
  </si>
  <si>
    <t xml:space="preserve">È una quota ripartita di costi comuni: resta anche se la scelta sul prodotto cambia.</t>
  </si>
  <si>
    <t xml:space="preserve">capitoli 7 e 15</t>
  </si>
  <si>
    <t xml:space="preserve">Serve solo all'ordine speciale; non varia con le unità dell'ordine ma nasce con l'ordine, quindi entra nel prezzo minimo.</t>
  </si>
  <si>
    <t xml:space="preserve">Non evitabile nell'orizzonte della decisione</t>
  </si>
  <si>
    <t xml:space="preserve">Diretta se le ore sono registrate sul prodotto; il personale resta anche con l'acquisto esterno: non è un risparmio del Buy. Diventa rilevante se il personale è riassegnabile (costo opportunità) o riducibile (costo evitabile).</t>
  </si>
  <si>
    <t xml:space="preserve">capitoli 15 e 16</t>
  </si>
  <si>
    <t xml:space="preserve">Driver da verificare: volumi e complessità</t>
  </si>
  <si>
    <t xml:space="preserve">Diretti se rilevati per lotto o prodotto; crescono con volumi e complessità: rilevanti se la decisione li cambia.</t>
  </si>
  <si>
    <t xml:space="preserve">capitoli 4 e 14</t>
  </si>
  <si>
    <t xml:space="preserve">Costo fisso specifico del mercato</t>
  </si>
  <si>
    <t xml:space="preserve">Esiste per quel mercato e non varia con i volumi; si evita rinunciando al mercato prima di impegnarsi (se già pagato, è sommerso).</t>
  </si>
  <si>
    <t xml:space="preserve">Canone software centrale</t>
  </si>
  <si>
    <t xml:space="preserve">Serve tutta l'impresa; il canone annuo non cambia con i volumi né con la scelta su una linea.</t>
  </si>
  <si>
    <t xml:space="preserve">Richiesta con: ruolo; obiettivo; perimetro (Società Alfa S.p.A., bilancio d'esercizio 2024 e 2023); descrizione del fascicolo; formule autorizzate; formato del risultato; controlli obbligatori; divieto di inventare; regola di arresto.</t>
  </si>
  <si>
    <t xml:space="preserve">Protocollo del paragrafo 19.3 incollato in testa alla richiesta</t>
  </si>
  <si>
    <t xml:space="preserve">Lo strumento non conosce il libro: il protocollo va incollato. Collaudo minimo: totale attivo uguale a totale passivo e netto (11.449.440 nel 2024; 10.882.555 nel 2023), ogni numero con prospetto e riga di origine.</t>
  </si>
  <si>
    <t xml:space="preserve">capitolo 19, paragrafo 19.3; richiesta 16</t>
  </si>
  <si>
    <t xml:space="preserve">Elenco dei dati mancanti: costi separati in fissi e variabili, quantità vendute, prezzi netti e costi variabili unitari per prodotto. Esito FAIL: il pareggio non si calcola.</t>
  </si>
  <si>
    <t xml:space="preserve">Pareggio = costi fissi / margine unitario</t>
  </si>
  <si>
    <t xml:space="preserve">Il bilancio civilistico espone i costi per natura, non per comportamento: senza la classificazione interna il pareggio sarebbe inventato.</t>
  </si>
  <si>
    <t xml:space="preserve">capitoli 4, 9 e 19 (lavoro 14)</t>
  </si>
  <si>
    <t xml:space="preserve">Tabella a due colonne. Disponibili: costi per natura (materie, servizi, godimento beni di terzi, personale, ammortamenti, oneri diversi) e variazione delle rimanenze. Mancanti: costi per prodotto, separazione fra costi variabili e fissi, costi industriali e commerciali, quantità.</t>
  </si>
  <si>
    <t xml:space="preserve">Full Costing: costi diretti + quota di indiretti; Direct Costing: ricavi - costi variabili</t>
  </si>
  <si>
    <t xml:space="preserve">Con i soli dati del bilancio non si costruisce né il costo pieno né il margine di contribuzione per prodotto; ogni assunzione va dichiarata.</t>
  </si>
  <si>
    <t xml:space="preserve">capitoli 7, 8 e 19 (lavoro 7)</t>
  </si>
  <si>
    <t xml:space="preserve">Ponte 2024: EBITDA 1.647.340 - ammortamenti e svalutazioni 548.230 = EBIT 1.099.110; - oneri finanziari netti 162.840 - rettifiche 31.260 = risultato ante imposte 905.010; - imposte 261.745 = utile 643.265.</t>
  </si>
  <si>
    <t xml:space="preserve">Variazione dell'utile = variazione EBIT - variazione oneri finanziari - variazione rettifiche - variazione imposte</t>
  </si>
  <si>
    <t xml:space="preserve">Variazione: 104.015 - 24.265 - 18.780 - 13.815 = 47.155, uguale alla variazione dell'utile (PASS). L'EBITDA non è nel foglio: si calcola come EBIT + ammortamenti e svalutazioni (1.516.780 nel 2023).</t>
  </si>
  <si>
    <t xml:space="preserve">capitoli 1, 20 e 19; richiesta 17</t>
  </si>
  <si>
    <t xml:space="preserve">Tabella con colonne: voce, classe proposta, grado di certezza, dato mancante. Lavorazioni esterne, provvigioni e trasporti: variabili solo se contratti e volumi lo confermano; energia: mista; manutenzioni e consulenze: fisse o discrezionali. Senza il dettaglio della nota integrativa la voce resta «dato mancante».</t>
  </si>
  <si>
    <t xml:space="preserve">Classificazione per comportamento, non per nome del conto</t>
  </si>
  <si>
    <t xml:space="preserve">Il nome del conto non basta: le voci ambigue si verificano a mano su un campione ragionato.</t>
  </si>
  <si>
    <t xml:space="preserve">capitoli 3 e 19 (lavoro 1)</t>
  </si>
  <si>
    <t xml:space="preserve">Matrice Make or Buy: costo rilevante del Make (materiali, lavoro evitabile, energia e lavorazioni legate al volume, attrezzature) contro costo del Buy (prezzo, trasporto, dazi, controlli, scorte, gestione fornitore), più rischi e fattori qualitativi. I dati del Make sono «mancanti».</t>
  </si>
  <si>
    <t xml:space="preserve">Confronto su costi evitabili e incrementali, stesso perimetro</t>
  </si>
  <si>
    <t xml:space="preserve">Nessuna conclusione: senza i costi interni evitabili il confronto è FAIL (regola di arresto).</t>
  </si>
  <si>
    <t xml:space="preserve">capitoli 16 e 19 (lavoro 11)</t>
  </si>
  <si>
    <t xml:space="preserve">Si può ricavare: peso di ciascun canale sui ricavi e sua variazione. Non si può ricavare: prezzo medio, effetto prezzo ed effetto quantità, sconti. Dataset richiesto: righe di vendita con quantità, prezzo di listino, sconto e importo netto.</t>
  </si>
  <si>
    <t xml:space="preserve">Prezzo medio = ricavi / quantità</t>
  </si>
  <si>
    <t xml:space="preserve">Senza le quantità il denominatore manca: un prezzo medio sarebbe inventato.</t>
  </si>
  <si>
    <t xml:space="preserve">capitoli 17 e 19 (lavoro 12)</t>
  </si>
  <si>
    <t xml:space="preserve">Utile 643.265 + rettifiche non monetarie 640.325 - incremento rimanenze 272.640 + decremento crediti 107.780 + incremento debiti fornitori 131.365 + altre variazioni 47.945 = 1.298.040, uguale al flusso operativo (PASS). Flusso operativo 1.298.040 - investimenti 854.335 - finanziamenti 278.650 = 165.055. Cassa: 1.127.390 + 165.055 = 1.292.445 (PASS).</t>
  </si>
  <si>
    <t xml:space="preserve">Cassa iniziale + variazione = cassa finale</t>
  </si>
  <si>
    <t xml:space="preserve">L'utile diventa cassa attraverso le rettifiche non monetarie e il capitale circolante; investimenti e rimborsi dei finanziamenti riducono la liquidità generata. Il ponte fino al flusso operativo e la quadratura della cassa passano entrambi (PASS).</t>
  </si>
  <si>
    <t xml:space="preserve">capitoli 1, 20 e 19; richiesta 21</t>
  </si>
  <si>
    <t xml:space="preserve">Mappa con colonne: attività, driver, dato che serve, fonte del dato (per esempio gestione ordini con il numero di ordini, spedizioni con il numero di consegne). Nessun importo attribuito finché i driver non hanno una fonte.</t>
  </si>
  <si>
    <t xml:space="preserve">Tariffa = costo del pool / volume del driver</t>
  </si>
  <si>
    <t xml:space="preserve">Il bilancio dà solo totali per natura: attribuire importi senza driver documentati è un'allocazione arbitraria.</t>
  </si>
  <si>
    <t xml:space="preserve">capitoli 10 e 19 (lavoro 5)</t>
  </si>
  <si>
    <t xml:space="preserve">Registro delle eccezioni: numero, dove compare, ricerca nel file (non trovato), azione (eliminato o dichiarato mancante), nuova richiesta. Esito FAIL finché il numero non si ritrova nel file.</t>
  </si>
  <si>
    <t xml:space="preserve">Ogni numero si risale al dato di origine (riga e colonna)</t>
  </si>
  <si>
    <t xml:space="preserve">Il numero plausibile non trovato nel file è un'invenzione: non si corregge a occhio, si elimina o si dichiara mancante.</t>
  </si>
  <si>
    <t xml:space="preserve">capitolo 19, paragrafi 19.3 e 19.6</t>
  </si>
  <si>
    <t xml:space="preserve">Le formule dei capitoli con significato, quando usarle e un esempio.</t>
  </si>
  <si>
    <t xml:space="preserve">Nome</t>
  </si>
  <si>
    <t xml:space="preserve">Che cosa dice</t>
  </si>
  <si>
    <t xml:space="preserve">Quando si usa</t>
  </si>
  <si>
    <t xml:space="preserve">Esempio</t>
  </si>
  <si>
    <t xml:space="preserve">Risultato economico</t>
  </si>
  <si>
    <t xml:space="preserve">Risultato economico = ricavi - costi del periodo</t>
  </si>
  <si>
    <t xml:space="preserve">Misura la ricchezza creata o distrutta nel periodo, secondo la competenza; non dice se in cassa ci sono i soldi.</t>
  </si>
  <si>
    <t xml:space="preserve">Per leggere il Conto Economico per gradini.</t>
  </si>
  <si>
    <t xml:space="preserve">Ricavi 200.000 - costi variabili 120.000 - costi fissi 55.000 - oneri finanziari 5.000 = 20.000 euro.</t>
  </si>
  <si>
    <t xml:space="preserve">Patrimonio netto</t>
  </si>
  <si>
    <t xml:space="preserve">Patrimonio netto = attività - passività</t>
  </si>
  <si>
    <t xml:space="preserve">È un residuo, ottenuto per differenza: non è denaro.</t>
  </si>
  <si>
    <t xml:space="preserve">Per leggere lo Stato Patrimoniale a una data.</t>
  </si>
  <si>
    <t xml:space="preserve">Il patrimonio netto può essere investito in crediti, scorte e immobilizzazioni: non coincide con la cassa.</t>
  </si>
  <si>
    <t xml:space="preserve">Patrimonio netto di fine periodo</t>
  </si>
  <si>
    <t xml:space="preserve">Patrimonio netto di fine periodo = patrimonio netto di inizio periodo + utile - utili distribuiti, in assenza di nuovi apporti o rimborsi di capitale</t>
  </si>
  <si>
    <t xml:space="preserve">Collega il Conto Economico, che misura la variazione di ricchezza, allo Stato Patrimoniale, che la fotografa a una data.</t>
  </si>
  <si>
    <t xml:space="preserve">Per verificare che l'utile del periodo compaia nel patrimonio netto.</t>
  </si>
  <si>
    <t xml:space="preserve">Con 20.000 euro di utile e nessun utile distribuito, il patrimonio netto di fine periodo supera di 20.000 euro quello di inizio periodo.</t>
  </si>
  <si>
    <t xml:space="preserve">Costo = quantità consumata × valore unitario</t>
  </si>
  <si>
    <t xml:space="preserve">Il costo del periodo nasce dal consumo, non dall'acquisto.</t>
  </si>
  <si>
    <t xml:space="preserve">Per determinare il costo di un periodo partendo dai consumi.</t>
  </si>
  <si>
    <t xml:space="preserve">600 kg consumati × 8 euro/kg = 4.800 euro (sui 1.000 kg acquistati, 3.200 euro restano in magazzino).</t>
  </si>
  <si>
    <t xml:space="preserve">Costo variabile totale</t>
  </si>
  <si>
    <t xml:space="preserve">Costo variabile totale = costo variabile unitario × quantità</t>
  </si>
  <si>
    <t xml:space="preserve">Il totale segue i volumi; il costo unitario resta costante.</t>
  </si>
  <si>
    <t xml:space="preserve">Per prevedere i costi che cambiano con il volume.</t>
  </si>
  <si>
    <t xml:space="preserve">6 euro × 1.000 unità = 6.000 euro; 6 × 2.000 = 12.000 euro.</t>
  </si>
  <si>
    <t xml:space="preserve">Costo fisso unitario</t>
  </si>
  <si>
    <t xml:space="preserve">Costo fisso unitario = costo fisso totale / quantità</t>
  </si>
  <si>
    <t xml:space="preserve">Scende quando il volume cresce, perché lo stesso totale si distribuisce su più unità: non è un costo eliminato.</t>
  </si>
  <si>
    <t xml:space="preserve">Per leggere il costo per unità al variare del volume.</t>
  </si>
  <si>
    <t xml:space="preserve">12.000 / 1.000 = 12,00 euro; 12.000 / 2.000 = 6,00 euro.</t>
  </si>
  <si>
    <t xml:space="preserve">Costo totale = componente fissa + tariffa variabile × attività</t>
  </si>
  <si>
    <t xml:space="preserve">Separa la spesa strutturale dal consumo.</t>
  </si>
  <si>
    <t xml:space="preserve">Per simulare contratti con canone più quota a consumo.</t>
  </si>
  <si>
    <t xml:space="preserve">2.000 + 0,40 × 10.000 transazioni = 6.000 euro.</t>
  </si>
  <si>
    <t xml:space="preserve">Tariffa variabile = variazione costo / variazione attività;  Fisso = costo totale - tariffa × attività</t>
  </si>
  <si>
    <t xml:space="preserve">Stima rapida di quota fissa e variabile con due osservazioni.</t>
  </si>
  <si>
    <t xml:space="preserve">Quando servono una stima veloce e pochi dati; con dati numerosi servono grafici e regressione.</t>
  </si>
  <si>
    <t xml:space="preserve">(34.000 - 22.000) / (8.000 - 4.000) = 3 euro/ora; fisso = 34.000 - 3 × 8.000 = 10.000 euro.</t>
  </si>
  <si>
    <t xml:space="preserve">Costo previsto per comportamento</t>
  </si>
  <si>
    <t xml:space="preserve">Costo previsto = costi variabili + costi fissi + gradini di capacità</t>
  </si>
  <si>
    <t xml:space="preserve">Previsione spiegabile ipotesi per ipotesi.</t>
  </si>
  <si>
    <t xml:space="preserve">Nel budget e nel forecast.</t>
  </si>
  <si>
    <t xml:space="preserve">6.000 × 14 + 70.000 + 8.000 (supervisione oltre 5.000 unità) = 162.000 euro.</t>
  </si>
  <si>
    <t xml:space="preserve">Funzione di costo a tratti (impresa guida)</t>
  </si>
  <si>
    <t xml:space="preserve">Costo totale = 736.000 + costi variabili + 28 × MAX(ore richieste - 21.000; 0)</t>
  </si>
  <si>
    <t xml:space="preserve">Oltre la capacità ordinaria ogni ora costa 28 euro in più.</t>
  </si>
  <si>
    <t xml:space="preserve">Quando esiste una soglia di capacità.</t>
  </si>
  <si>
    <t xml:space="preserve">24.000 ore: 736.000 + 2.324.000 + 28 × 3.000 = 3.144.000 euro.</t>
  </si>
  <si>
    <t xml:space="preserve">Costo della capacità inutilizzata</t>
  </si>
  <si>
    <t xml:space="preserve">Capacità inutilizzata = costo capacità fornita - costo capacità utilizzata</t>
  </si>
  <si>
    <t xml:space="preserve">Rende visibile la struttura non impiegata.</t>
  </si>
  <si>
    <t xml:space="preserve">Quando i volumi sono sotto la capacità disponibile.</t>
  </si>
  <si>
    <t xml:space="preserve">120.000 / 12.000 ore = 10 euro/ora; 3.000 ore non usate × 10 = 30.000 euro.</t>
  </si>
  <si>
    <t xml:space="preserve">Coefficiente = costi del centro / volume totale della base;  Costo oggetto = coefficiente × base consumata</t>
  </si>
  <si>
    <t xml:space="preserve">Trasforma il costo del centro in una tariffa.</t>
  </si>
  <si>
    <t xml:space="preserve">Nella ripartizione dei costi indiretti.</t>
  </si>
  <si>
    <t xml:space="preserve">240.000 / 12.000 ore = 20 euro/ora; 150 ore × 20 = 3.000 euro.</t>
  </si>
  <si>
    <t xml:space="preserve">M = costo proprio M + % servizi ricevuti da S × S;  S = costo proprio S + % servizi ricevuti da M × M</t>
  </si>
  <si>
    <t xml:space="preserve">Riconosce tutti gli scambi tra centri ausiliari.</t>
  </si>
  <si>
    <t xml:space="preserve">Quando gli scambi reciproci sono rilevanti.</t>
  </si>
  <si>
    <t xml:space="preserve">M = 50.000 + 0,20 S; S = 35.000 + 0,25 M → M = 60.000; S = 50.000.</t>
  </si>
  <si>
    <t xml:space="preserve">Scostamento centro = costi effettivi - costi applicati agli oggetti</t>
  </si>
  <si>
    <t xml:space="preserve">Differenza fra costo sostenuto e costo applicato con la tariffa prestabilita.</t>
  </si>
  <si>
    <t xml:space="preserve">Quando i costi del centro si applicano agli oggetti con una tariffa prestabilita.</t>
  </si>
  <si>
    <t xml:space="preserve">210.000 - 195.000 = 15.000 euro da spiegare, non da ripartire automaticamente.</t>
  </si>
  <si>
    <t xml:space="preserve">Costo pieno</t>
  </si>
  <si>
    <t xml:space="preserve">Costo pieno = costi diretti + costi indiretti allocati</t>
  </si>
  <si>
    <t xml:space="preserve">Assorbimento complessivo di risorse secondo il perimetro scelto.</t>
  </si>
  <si>
    <t xml:space="preserve">Per sostenibilità di lungo periodo.</t>
  </si>
  <si>
    <t xml:space="preserve">Materiali 45 + lavoro 25 + indiretti produzione 18 + commerciale/amministrativo 12 = 100 euro.</t>
  </si>
  <si>
    <t xml:space="preserve">Costo primo = diretti;  Industriale = primo + indiretti di produzione;  Complessivo = industriale + commerciali e amministrativi</t>
  </si>
  <si>
    <t xml:space="preserve">Mostra gli strati del costo.</t>
  </si>
  <si>
    <t xml:space="preserve">Quando presenti un costo prodotto.</t>
  </si>
  <si>
    <t xml:space="preserve">70 → 88 → 100 euro.</t>
  </si>
  <si>
    <t xml:space="preserve">Margine di contribuzione = ricavi - costi variabili</t>
  </si>
  <si>
    <t xml:space="preserve">Quanto resta per coprire i costi fissi e formare il risultato.</t>
  </si>
  <si>
    <t xml:space="preserve">Decisioni di breve periodo, break-even.</t>
  </si>
  <si>
    <t xml:space="preserve">Ricavi 200.000 - variabili 120.000 = 80.000 euro.</t>
  </si>
  <si>
    <t xml:space="preserve">Margine unitario = prezzo netto unitario - costo variabile unitario</t>
  </si>
  <si>
    <t xml:space="preserve">Contributo di ogni unità venduta.</t>
  </si>
  <si>
    <t xml:space="preserve">Break-even, ordini, offerte.</t>
  </si>
  <si>
    <t xml:space="preserve">100 - 60 = 40 euro.</t>
  </si>
  <si>
    <t xml:space="preserve">Margine % = margine / ricavi × 100</t>
  </si>
  <si>
    <t xml:space="preserve">Incidenza del contributo sui ricavi.</t>
  </si>
  <si>
    <t xml:space="preserve">Pareggio in fatturato, confronto tra prodotti.</t>
  </si>
  <si>
    <t xml:space="preserve">40 / 100 × 100 = 40%.</t>
  </si>
  <si>
    <t xml:space="preserve">Margine totale = margine unitario × quantità</t>
  </si>
  <si>
    <t xml:space="preserve">Contributo complessivo del segmento.</t>
  </si>
  <si>
    <t xml:space="preserve">Analisi di portafoglio.</t>
  </si>
  <si>
    <t xml:space="preserve">Linea A: 63 × 8.000 = 504.000 euro.</t>
  </si>
  <si>
    <t xml:space="preserve">Secondo margine = margine di contribuzione - costi fissi specifici</t>
  </si>
  <si>
    <t xml:space="preserve">Contributo dopo la struttura dedicata al segmento.</t>
  </si>
  <si>
    <t xml:space="preserve">Redditività di prodotti, clienti, canali.</t>
  </si>
  <si>
    <t xml:space="preserve">200.000 - 70.000 = 130.000 euro.</t>
  </si>
  <si>
    <t xml:space="preserve">Break-even in unità</t>
  </si>
  <si>
    <t xml:space="preserve">Break-even unità = costi fissi / margine di contribuzione unitario (arrotondare per eccesso)</t>
  </si>
  <si>
    <t xml:space="preserve">Quantità minima per risultato operativo zero.</t>
  </si>
  <si>
    <t xml:space="preserve">Obiettivi minimi di vendita.</t>
  </si>
  <si>
    <t xml:space="preserve">200.000 / 40 = 5.000 unità.</t>
  </si>
  <si>
    <t xml:space="preserve">Break-even in fatturato</t>
  </si>
  <si>
    <t xml:space="preserve">Fatturato di pareggio = costi fissi / margine percentuale</t>
  </si>
  <si>
    <t xml:space="preserve">Fatturato che copre esattamente i fissi.</t>
  </si>
  <si>
    <t xml:space="preserve">Realtà multiprodotto con mix stabile.</t>
  </si>
  <si>
    <t xml:space="preserve">200.000 / 40% = 500.000 euro.</t>
  </si>
  <si>
    <t xml:space="preserve">Volume per utile obiettivo = (costi fissi + utile obiettivo) / margine unitario, arrotondato sempre per eccesso</t>
  </si>
  <si>
    <t xml:space="preserve">Trasforma un obiettivo di utile in una soglia di volume.</t>
  </si>
  <si>
    <t xml:space="preserve">Budget vendite.</t>
  </si>
  <si>
    <t xml:space="preserve">(200.000 + 80.000) / 40 = 7.000 unità.</t>
  </si>
  <si>
    <t xml:space="preserve">Risultato operativo necessario (obiettivo dopo le imposte)</t>
  </si>
  <si>
    <t xml:space="preserve">Con l’obiettivo espresso dopo le imposte: risultato operativo necessario = utile netto desiderato / (1 - aliquota) + oneri finanziari</t>
  </si>
  <si>
    <t xml:space="preserve">Trasforma un obiettivo di utile netto nel risultato operativo da raggiungere.</t>
  </si>
  <si>
    <t xml:space="preserve">Quando l'obiettivo è espresso dopo le imposte.</t>
  </si>
  <si>
    <t xml:space="preserve">56.000 / (1 - 0,30) + 0 = 80.000 euro: con costi fissi 200.000 e margine unitario 40 si torna a (200.000 + 80.000) / 40 = 7.000 unità.</t>
  </si>
  <si>
    <t xml:space="preserve">Margine di sicurezza = vendite previste - vendite di pareggio; margine di sicurezza % = margine di sicurezza / vendite previste × 100</t>
  </si>
  <si>
    <t xml:space="preserve">Quanto possono scendere le vendite prima del pareggio.</t>
  </si>
  <si>
    <t xml:space="preserve">Valutazione del rischio operativo.</t>
  </si>
  <si>
    <t xml:space="preserve">650.000 - 500.000 = 150.000 euro; 150.000 / 650.000 = 23,1%.</t>
  </si>
  <si>
    <t xml:space="preserve">Grado di leva operativa = margine di contribuzione / risultato operativo</t>
  </si>
  <si>
    <t xml:space="preserve">Sensibilità del risultato al volume nel punto osservato.</t>
  </si>
  <si>
    <t xml:space="preserve">Stima dell'impatto di variazioni di volume.</t>
  </si>
  <si>
    <t xml:space="preserve">240.000 / 40.000 = 6: +1% di volume ≈ +6% di risultato.</t>
  </si>
  <si>
    <t xml:space="preserve">Leva operativa con la funzione di costo a tratti</t>
  </si>
  <si>
    <t xml:space="preserve">Con la funzione di costo a tratti, sopra la soglia di capacità: leva = (margine di contribuzione - costo orario esterno × ore richieste) / risultato operativo</t>
  </si>
  <si>
    <t xml:space="preserve">Dal margine si toglie prima il costo che si muove con il volume.</t>
  </si>
  <si>
    <t xml:space="preserve">Quando le ore richieste superano la capacità ordinaria e le ore mancanti si acquistano all’esterno.</t>
  </si>
  <si>
    <t xml:space="preserve">(1.062.000 - 28 × 24.000) / 242.000 = 390.000 / 242.000 = 1,61; vale per cali del fatturato fino al 12,5%.</t>
  </si>
  <si>
    <t xml:space="preserve">Pareggio multiprodotto</t>
  </si>
  <si>
    <t xml:space="preserve">Pacchetti di pareggio = costi fissi / margine del pacchetto;  margine pacchetto = Σ (margine unitario × unità nel mix)</t>
  </si>
  <si>
    <t xml:space="preserve">Il mix entra nel calcolo del pareggio.</t>
  </si>
  <si>
    <t xml:space="preserve">Con più prodotti in proporzioni stabili.</t>
  </si>
  <si>
    <t xml:space="preserve">40 × 2 + 20 × 1 = 100; 300.000 / 100 = 3.000 pacchetti = 6.000 A + 3.000 B.</t>
  </si>
  <si>
    <t xml:space="preserve">Tariffa ABC e costo attribuito</t>
  </si>
  <si>
    <t xml:space="preserve">Tariffa driver = costo attività / volume driver;  Costo oggetto = tariffa × driver consumato</t>
  </si>
  <si>
    <t xml:space="preserve">Porta il costo delle attività agli oggetti.</t>
  </si>
  <si>
    <t xml:space="preserve">Quando i costi indiretti dipendono dalla complessità.</t>
  </si>
  <si>
    <t xml:space="preserve">180.000 / 600 attrezzaggi = 300 euro per attrezzaggio; A con 80 attrezzaggi = 24.000 euro.</t>
  </si>
  <si>
    <t xml:space="preserve">TDABC: costo per minuto</t>
  </si>
  <si>
    <t xml:space="preserve">Costo per minuto = costo delle risorse / minuti di capacità pratica</t>
  </si>
  <si>
    <t xml:space="preserve">Costo per unità di capacità.</t>
  </si>
  <si>
    <t xml:space="preserve">Transazioni con durate diverse.</t>
  </si>
  <si>
    <t xml:space="preserve">360.000 / 600.000 = 0,60 euro/min; ordine di 8 minuti = 4,80 euro.</t>
  </si>
  <si>
    <t xml:space="preserve">Budget vendite</t>
  </si>
  <si>
    <t xml:space="preserve">Ricavi di budget = quantità previste × prezzo previsto</t>
  </si>
  <si>
    <t xml:space="preserve">Separa volume e prezzo e prepara l'analisi degli scostamenti.</t>
  </si>
  <si>
    <t xml:space="preserve">Primo passo del budget operativo.</t>
  </si>
  <si>
    <t xml:space="preserve">8.000 × 120 + 5.000 × 80 = 1.360.000 euro.</t>
  </si>
  <si>
    <t xml:space="preserve">Budget produzione</t>
  </si>
  <si>
    <t xml:space="preserve">Produzione = vendite previste + scorte finali desiderate - scorte iniziali</t>
  </si>
  <si>
    <t xml:space="preserve">Collega vendite e scorte alla produzione.</t>
  </si>
  <si>
    <t xml:space="preserve">Per prodotto e periodo.</t>
  </si>
  <si>
    <t xml:space="preserve">8.000 + 1.200 - 900 = 8.300 unità.</t>
  </si>
  <si>
    <t xml:space="preserve">Fabbisogno materiali</t>
  </si>
  <si>
    <t xml:space="preserve">Fabbisogno = quantità da produrre × consumo standard</t>
  </si>
  <si>
    <t xml:space="preserve">Materiale necessario alla produzione.</t>
  </si>
  <si>
    <t xml:space="preserve">Budget materiali.</t>
  </si>
  <si>
    <t xml:space="preserve">8.300 × 3 kg = 24.900 kg.</t>
  </si>
  <si>
    <t xml:space="preserve">Budget acquisti</t>
  </si>
  <si>
    <t xml:space="preserve">Acquisti = fabbisogno per produzione + scorta finale materie - scorta iniziale materie</t>
  </si>
  <si>
    <t xml:space="preserve">Quantità da acquistare.</t>
  </si>
  <si>
    <t xml:space="preserve">Budget approvvigionamenti e cassa.</t>
  </si>
  <si>
    <t xml:space="preserve">Esempio: 24.900 + 2.000 - 1.500 = 25.400 kg (valori di scorta illustrativi).</t>
  </si>
  <si>
    <t xml:space="preserve">Ore lavoro necessarie</t>
  </si>
  <si>
    <t xml:space="preserve">Ore necessarie = quantità da produrre × tempo standard per unità</t>
  </si>
  <si>
    <t xml:space="preserve">Fabbisogno di lavoro da confrontare con la capacità.</t>
  </si>
  <si>
    <t xml:space="preserve">Budget del lavoro.</t>
  </si>
  <si>
    <t xml:space="preserve">8.300 × 0,5 = 4.150 ore.</t>
  </si>
  <si>
    <t xml:space="preserve">Budget di cassa</t>
  </si>
  <si>
    <t xml:space="preserve">Cassa finale = cassa iniziale + incassi - pagamenti</t>
  </si>
  <si>
    <t xml:space="preserve">Profilo monetario del piano.</t>
  </si>
  <si>
    <t xml:space="preserve">Verifica della sostenibilità finanziaria.</t>
  </si>
  <si>
    <t xml:space="preserve">Ricavi 300.000 con il 40% incassato nel mese: incassi correnti 120.000 euro.</t>
  </si>
  <si>
    <t xml:space="preserve">Scostamento prezzo (ricavi)</t>
  </si>
  <si>
    <t xml:space="preserve">Prezzo = (P eff - P bud) × Q eff</t>
  </si>
  <si>
    <t xml:space="preserve">Differenza di prezzo sulla quantità effettiva.</t>
  </si>
  <si>
    <t xml:space="preserve">Analisi dei ricavi.</t>
  </si>
  <si>
    <t xml:space="preserve">-0,50 × 11.000 = -5.500 euro.</t>
  </si>
  <si>
    <t xml:space="preserve">Scostamento volume (ricavi)</t>
  </si>
  <si>
    <t xml:space="preserve">Volume = (Q eff - Q bud) × P bud</t>
  </si>
  <si>
    <t xml:space="preserve">Differenza di quantità valorizzata al prezzo di budget.</t>
  </si>
  <si>
    <t xml:space="preserve">(11.000 - 10.000) × 25 = 25.000 euro di ricavi.</t>
  </si>
  <si>
    <t xml:space="preserve">Scostamento prezzo materiali</t>
  </si>
  <si>
    <t xml:space="preserve">Prezzo = (P eff - P std) × Q eff</t>
  </si>
  <si>
    <t xml:space="preserve">Differenziale di prezzo sulla quantità effettiva.</t>
  </si>
  <si>
    <t xml:space="preserve">Controllo acquisti.</t>
  </si>
  <si>
    <t xml:space="preserve">(2,75 - 3,00) × 24.800 = -6.200 (favorevole).</t>
  </si>
  <si>
    <t xml:space="preserve">Scostamento impiego materiali</t>
  </si>
  <si>
    <t xml:space="preserve">Impiego = (Q eff - Q std ammessa) × P std</t>
  </si>
  <si>
    <t xml:space="preserve">Differenziale di consumo rispetto allo standard ammesso.</t>
  </si>
  <si>
    <t xml:space="preserve">Controllo produzione.</t>
  </si>
  <si>
    <t xml:space="preserve">(24.800 - 22.000) × 3 = 8.400 (sfavorevole).</t>
  </si>
  <si>
    <t xml:space="preserve">Scostamento tariffa lavoro</t>
  </si>
  <si>
    <t xml:space="preserve">Tariffa = (T eff - T std) × ore eff</t>
  </si>
  <si>
    <t xml:space="preserve">Costo orario effettivo rispetto allo standard.</t>
  </si>
  <si>
    <t xml:space="preserve">Controllo costo del lavoro.</t>
  </si>
  <si>
    <t xml:space="preserve">(25 - 24) × 2.900 = 2.900 (sfavorevole).</t>
  </si>
  <si>
    <t xml:space="preserve">Scostamento efficienza lavoro</t>
  </si>
  <si>
    <t xml:space="preserve">Efficienza = (ore eff - ore std ammesse) × T std</t>
  </si>
  <si>
    <t xml:space="preserve">Ore effettive rispetto alle ore ammesse per l'output reale.</t>
  </si>
  <si>
    <t xml:space="preserve">Controllo produttività.</t>
  </si>
  <si>
    <t xml:space="preserve">(2.900 - 2.750) × 24 = 3.600 (sfavorevole).</t>
  </si>
  <si>
    <t xml:space="preserve">Scostamenti dei costi indiretti variabili</t>
  </si>
  <si>
    <t xml:space="preserve">Costi indiretti variabili: scostamento spesa = (tariffa effettiva del driver - tariffa standard) × quantità effettiva del driver; scostamento efficienza = (quantità effettiva del driver - quantità standard ammessa) × tariffa standard; la tariffa effettiva è il costo effettivo diviso la quantità effettiva del driver</t>
  </si>
  <si>
    <t xml:space="preserve">Stessa forma degli scostamenti del lavoro diretto, con la quantità del driver al posto delle ore.</t>
  </si>
  <si>
    <t xml:space="preserve">Per i costi indiretti che variano con un driver.</t>
  </si>
  <si>
    <t xml:space="preserve">Il capitolo 14 non ha un esempio numerico: si seguono gli esempi del lavoro diretto, con quantità e tariffa del driver al posto di ore e tariffa oraria.</t>
  </si>
  <si>
    <t xml:space="preserve">Margine unitario medio di budget = margine di budget / quantità totale di budget</t>
  </si>
  <si>
    <t xml:space="preserve">Il margine di una unità di budget, con il mix di budget.</t>
  </si>
  <si>
    <t xml:space="preserve">Per separare l'effetto quantità dall'effetto mix.</t>
  </si>
  <si>
    <t xml:space="preserve">Marzo: 90.000 / 1.800 = 50,00 euro.</t>
  </si>
  <si>
    <t xml:space="preserve">Effetto quantità = (quantità totale effettiva - quantità totale di budget) × margine unitario medio di budget</t>
  </si>
  <si>
    <t xml:space="preserve">Margine portato dalla variazione della quantità totale venduta, con il mix di budget.</t>
  </si>
  <si>
    <t xml:space="preserve">Nel ponte del margine, insieme all'effetto mix.</t>
  </si>
  <si>
    <t xml:space="preserve">Marzo: (1.870 - 1.800) × 50,00 = 3.500 euro.</t>
  </si>
  <si>
    <t xml:space="preserve">Effetto mix = somma per linea di (quantità effettiva della linea - quantità totale effettiva × quota di budget della linea) × margine unitario di budget della linea</t>
  </si>
  <si>
    <t xml:space="preserve">Margine portato dalla diversa composizione delle vendite, a parità di quantità totale.</t>
  </si>
  <si>
    <t xml:space="preserve">Nel ponte del margine, quando le linee hanno margini unitari diversi.</t>
  </si>
  <si>
    <t xml:space="preserve">Marzo: 600 × 63 + 1.100 × 42 + 170 × 51 = 92.670 euro; 92.670 - 1.870 × 50,00 = 92.670 - 93.500 = -830 euro.</t>
  </si>
  <si>
    <t xml:space="preserve">Effetto prezzo ed effetto costo variabile nel ponte del margine</t>
  </si>
  <si>
    <t xml:space="preserve">Nel ponte del margine: effetto prezzo = somma per linea di (prezzo netto consuntivo - prezzo netto di budget) × quantità consuntiva; effetto costo variabile = somma per linea di (costo variabile unitario di budget - costo variabile unitario consuntivo) × quantità consuntiva, scritto budget meno consuntivo perché nel ponte ogni effetto è un impatto sul margine</t>
  </si>
  <si>
    <t xml:space="preserve">Separano nel ponte l’effetto dei prezzi netti e quello dei costi variabili unitari, entrambi come impatto sul margine.</t>
  </si>
  <si>
    <t xml:space="preserve">Nel ponte del margine fra budget e consuntivo.</t>
  </si>
  <si>
    <t xml:space="preserve">Marzo: (114 - 118) × 1.100 unità della linea B = -4.400 euro; costi variabili unitari invariati: effetto 0.</t>
  </si>
  <si>
    <t xml:space="preserve">Risultato differenziale = ricavi differenziali - costi differenziali</t>
  </si>
  <si>
    <t xml:space="preserve">Effetto economico della scelta.</t>
  </si>
  <si>
    <t xml:space="preserve">Ordini aggiuntivi e alternative.</t>
  </si>
  <si>
    <t xml:space="preserve">50.000 - 28.000 - 5.000 - 4.000 = +13.000 euro.</t>
  </si>
  <si>
    <t xml:space="preserve">Q indifferenza = differenza costi fissi / differenza costi variabili unitari</t>
  </si>
  <si>
    <t xml:space="preserve">Volume al quale due alternative costano uguale.</t>
  </si>
  <si>
    <t xml:space="preserve">Scelta tra configurazioni con strutture diverse.</t>
  </si>
  <si>
    <t xml:space="preserve">(80.000 - 50.000) / (12 - 8) = 7.500 unità.</t>
  </si>
  <si>
    <t xml:space="preserve">Valore Attuale Netto</t>
  </si>
  <si>
    <t xml:space="preserve">VAN = somma dei flussi_t / (1 + r)^t</t>
  </si>
  <si>
    <t xml:space="preserve">Valore creato oltre il rendimento richiesto.</t>
  </si>
  <si>
    <t xml:space="preserve">Decisioni su più periodi.</t>
  </si>
  <si>
    <t xml:space="preserve">Esborso 230.000, risparmi 55.000 per 5 anni, recuperi all'anno 5, r = 8%: VAN circa 23.628 euro.</t>
  </si>
  <si>
    <t xml:space="preserve">Punto di indifferenza Make or Buy</t>
  </si>
  <si>
    <t xml:space="preserve">Volume di indifferenza = costi fissi evitabili del Make / (prezzo Buy - costo variabile Make)</t>
  </si>
  <si>
    <t xml:space="preserve">Sotto la soglia conviene il Buy, sopra il Make.</t>
  </si>
  <si>
    <t xml:space="preserve">Make or Buy con volumi incerti.</t>
  </si>
  <si>
    <t xml:space="preserve">120.000 / (15 - 9) = 20.000 unità.</t>
  </si>
  <si>
    <t xml:space="preserve">Cost Plus</t>
  </si>
  <si>
    <t xml:space="preserve">Prezzo con ricarico = costo × (1 + percentuale di ricarico)</t>
  </si>
  <si>
    <t xml:space="preserve">Prezzo a partire dal costo e dal ricarico.</t>
  </si>
  <si>
    <t xml:space="preserve">Offerte basate sul costo.</t>
  </si>
  <si>
    <t xml:space="preserve">80 × 1,25 = 100.</t>
  </si>
  <si>
    <t xml:space="preserve">Margine percentuale sul prezzo</t>
  </si>
  <si>
    <t xml:space="preserve">Margine percentuale sul prezzo = (prezzo - costo) / prezzo × 100</t>
  </si>
  <si>
    <t xml:space="preserve">Margine espresso sul prezzo.</t>
  </si>
  <si>
    <t xml:space="preserve">Confronto di offerte.</t>
  </si>
  <si>
    <t xml:space="preserve">(100 - 80) / 100 = 20%.</t>
  </si>
  <si>
    <t xml:space="preserve">Costo obiettivo = prezzo di mercato × (1 - margine obiettivo sul prezzo)</t>
  </si>
  <si>
    <t xml:space="preserve">Parte dal prezzo che il mercato accetta e ricava il costo massimo del prodotto.</t>
  </si>
  <si>
    <t xml:space="preserve">Prima di avviare un prodotto: se il costo stimato è più alto, si riprogetta.</t>
  </si>
  <si>
    <t xml:space="preserve">100 × (1 - 0,20) = 80 euro.</t>
  </si>
  <si>
    <t xml:space="preserve">Prezzo minimo con capacità satura</t>
  </si>
  <si>
    <t xml:space="preserve">Prezzo minimo con vincolo = costi incrementali + costo opportunità per unità</t>
  </si>
  <si>
    <t xml:space="preserve">Soglia che copre anche il margine perso sull'uso alternativo della risorsa.</t>
  </si>
  <si>
    <t xml:space="preserve">Offerte in periodi di capacità piena.</t>
  </si>
  <si>
    <t xml:space="preserve">Un ordine che assorbe 1 ora deve coprire costi incrementali + margine generabile in quell'ora.</t>
  </si>
  <si>
    <t xml:space="preserve">Volume necessario dopo uno sconto</t>
  </si>
  <si>
    <t xml:space="preserve">Volume necessario = margine totale obiettivo / nuovo margine unitario</t>
  </si>
  <si>
    <t xml:space="preserve">Volume che mantiene il contributo dopo lo sconto.</t>
  </si>
  <si>
    <t xml:space="preserve">Prima di approvare uno sconto.</t>
  </si>
  <si>
    <t xml:space="preserve">30.000 / 25 = 1.200 unità (+20%).</t>
  </si>
  <si>
    <t xml:space="preserve">Margine per fattore scarso = margine unitario / risorsa scarsa per unità</t>
  </si>
  <si>
    <t xml:space="preserve">Contributo per unità del vincolo.</t>
  </si>
  <si>
    <t xml:space="preserve">Priorità produttive con capacità limitata.</t>
  </si>
  <si>
    <t xml:space="preserve">B: 38 / 0,5 = 76 euro/ora; A: 63 / 1,5 = 42; C: 51 / 3 = 17.</t>
  </si>
  <si>
    <t xml:space="preserve">Valore di 1 unità di capacità = margine generabile nel miglior impiego ancora disponibile</t>
  </si>
  <si>
    <t xml:space="preserve">Quanto vale un'ora in più del vincolo.</t>
  </si>
  <si>
    <t xml:space="preserve">Confronto con straordinari, outsourcing, investimenti.</t>
  </si>
  <si>
    <t xml:space="preserve">B (30 euro/ora) già servita: un'ora in più per A vale 20 euro.</t>
  </si>
  <si>
    <t xml:space="preserve">Saturazione</t>
  </si>
  <si>
    <t xml:space="preserve">Saturazione = capacità richiesta / capacità disponibile × 100</t>
  </si>
  <si>
    <t xml:space="preserve">Sotto il 100% c'è capacità inutilizzata; oltre il 100% serve capacità aggiuntiva.</t>
  </si>
  <si>
    <t xml:space="preserve">Per verificare la fattibilità di un piano.</t>
  </si>
  <si>
    <t xml:space="preserve">24.000 / 21.000 = 114,3%: fabbisogno aggiuntivo di 3.000 ore.</t>
  </si>
  <si>
    <t xml:space="preserve">EBITDA margin</t>
  </si>
  <si>
    <t xml:space="preserve">EBITDA margin = EBITDA / ricavi netti × 100</t>
  </si>
  <si>
    <t xml:space="preserve">Risultato prima di ammortamenti, svalutazioni, interessi e imposte per ogni 100 euro di ricavi.</t>
  </si>
  <si>
    <t xml:space="preserve">Confronto nel tempo e tra unità omogenee; mensile.</t>
  </si>
  <si>
    <t xml:space="preserve">180.000 / 1.200.000 × 100 = 15,00%.</t>
  </si>
  <si>
    <t xml:space="preserve">ROS</t>
  </si>
  <si>
    <t xml:space="preserve">ROS = EBIT / ricavi netti × 100</t>
  </si>
  <si>
    <t xml:space="preserve">Redditività operativa dopo ammortamenti e svalutazioni.</t>
  </si>
  <si>
    <t xml:space="preserve">Mensile, con ROI e rotazione.</t>
  </si>
  <si>
    <t xml:space="preserve">120.000 / 1.200.000 × 100 = 10,00%.</t>
  </si>
  <si>
    <t xml:space="preserve">Rotazione del capitale investito</t>
  </si>
  <si>
    <t xml:space="preserve">Rotazione = ricavi netti / capitale investito operativo medio;  capitale medio = (iniziale + finale) / 2</t>
  </si>
  <si>
    <t xml:space="preserve">Euro di ricavi per ogni euro medio investito.</t>
  </si>
  <si>
    <t xml:space="preserve">Mensile sugli ultimi dodici mesi o trimestrale.</t>
  </si>
  <si>
    <t xml:space="preserve">(580.000 + 620.000) / 2 = 600.000; 1.200.000 / 600.000 = 2,00 volte.</t>
  </si>
  <si>
    <t xml:space="preserve">ROI</t>
  </si>
  <si>
    <t xml:space="preserve">ROI = EBIT / capitale investito operativo medio × 100;  controllo: ROI = ROS × rotazione</t>
  </si>
  <si>
    <t xml:space="preserve">Rendimento operativo del capitale mediamente investito.</t>
  </si>
  <si>
    <t xml:space="preserve">Trimestrale o sugli ultimi dodici mesi.</t>
  </si>
  <si>
    <t xml:space="preserve">120.000 / 600.000 × 100 = 20,00% = 10,00% × 2,00.</t>
  </si>
  <si>
    <t xml:space="preserve">Scostamento dei ricavi</t>
  </si>
  <si>
    <t xml:space="preserve">Scostamento = ricavi consuntivi - ricavi di budget;  % = scostamento / ricavi di budget × 100</t>
  </si>
  <si>
    <t xml:space="preserve">Divario complessivo, da scomporre in prezzo, volume, mix e perimetro.</t>
  </si>
  <si>
    <t xml:space="preserve">A ogni chiusura mensile.</t>
  </si>
  <si>
    <t xml:space="preserve">1.150.000 - 1.200.000 = -50.000 euro, -4,17%, sfavorevole.</t>
  </si>
  <si>
    <t xml:space="preserve">Scostamento dei costi operativi</t>
  </si>
  <si>
    <t xml:space="preserve">Scostamento = costi consuntivi - costi di riferimento (budget flessibile per i variabili, statico per i fissi);  % = scostamento / costi di riferimento × 100</t>
  </si>
  <si>
    <t xml:space="preserve">Un valore positivo è sfavorevole.</t>
  </si>
  <si>
    <t xml:space="preserve">420.000 - 400.000 = +20.000 euro, +5,00%, sfavorevole.</t>
  </si>
  <si>
    <t xml:space="preserve">Scostamento dell'EBITDA o del risultato operativo</t>
  </si>
  <si>
    <t xml:space="preserve">Scostamento = consuntivo - budget;  % = scostamento / |budget| × 100</t>
  </si>
  <si>
    <t xml:space="preserve">Il valore assoluto al denominatore mantiene il segno anche con un budget in perdita.</t>
  </si>
  <si>
    <t xml:space="preserve">A ogni chiusura, con il ponte del risultato.</t>
  </si>
  <si>
    <t xml:space="preserve">170.000 - 190.000 = -20.000 euro; -20.000 / 190.000 × 100 = -10,53%.</t>
  </si>
  <si>
    <t xml:space="preserve">WAPE, accuratezza e bias</t>
  </si>
  <si>
    <t xml:space="preserve">WAPE = Σ |consuntivo - forecast| / Σ |consuntivo| × 100;  Accuratezza = 100% - WAPE;  Bias = Σ (forecast - consuntivo) / Σ |consuntivo| × 100</t>
  </si>
  <si>
    <t xml:space="preserve">Il WAPE misura l'errore, il bias la sua direzione (positivo = sovrastima).</t>
  </si>
  <si>
    <t xml:space="preserve">Mensile, per orizzonte di previsione, sul forecast congelato.</t>
  </si>
  <si>
    <t xml:space="preserve">Errori 10, 10, 5 su consuntivi 300: WAPE 8,33%; accuratezza 91,67%; bias +5 / 300 = +1,67%.</t>
  </si>
  <si>
    <t xml:space="preserve">Giorni medi di incasso</t>
  </si>
  <si>
    <t xml:space="preserve">Giorni di incasso = crediti commerciali medi / vendite a credito × giorni del periodo</t>
  </si>
  <si>
    <t xml:space="preserve">Tempo medio per trasformare le vendite a credito in incassi.</t>
  </si>
  <si>
    <t xml:space="preserve">Mensile, con IVA trattata in modo omogeneo.</t>
  </si>
  <si>
    <t xml:space="preserve">120.000 / 900.000 × 365 = 48,67 giorni.</t>
  </si>
  <si>
    <t xml:space="preserve">Giorni medi di giacenza</t>
  </si>
  <si>
    <t xml:space="preserve">Giorni di giacenza = rimanenze medie / costo del venduto × giorni del periodo</t>
  </si>
  <si>
    <t xml:space="preserve">Tempo medio di immobilizzo nelle scorte.</t>
  </si>
  <si>
    <t xml:space="preserve">Mensile, per famiglia e classe di movimento.</t>
  </si>
  <si>
    <t xml:space="preserve">150.000 / 900.000 × 365 = 60,83 giorni.</t>
  </si>
  <si>
    <t xml:space="preserve">Giorni medi di pagamento</t>
  </si>
  <si>
    <t xml:space="preserve">Giorni di pagamento = debiti commerciali medi / acquisti a credito × giorni del periodo</t>
  </si>
  <si>
    <t xml:space="preserve">Finanziamento medio ottenuto dai fornitori.</t>
  </si>
  <si>
    <t xml:space="preserve">Mensile; se gli acquisti mancano, proxy dichiarata.</t>
  </si>
  <si>
    <t xml:space="preserve">100.000 / 730.000 × 365 = 50,00 giorni.</t>
  </si>
  <si>
    <t xml:space="preserve">Ciclo di conversione della cassa</t>
  </si>
  <si>
    <t xml:space="preserve">Ciclo = giorni di incasso + giorni di giacenza - giorni di pagamento</t>
  </si>
  <si>
    <t xml:space="preserve">Giorni di ciclo operativo da finanziare.</t>
  </si>
  <si>
    <t xml:space="preserve">Mensile, con componenti sullo stesso periodo.</t>
  </si>
  <si>
    <t xml:space="preserve">48,67 + 60,83 - 50,00 = 59,50 giorni.</t>
  </si>
  <si>
    <t xml:space="preserve">Tasso di crescita dei ricavi</t>
  </si>
  <si>
    <t xml:space="preserve">Crescita = (ricavi correnti - ricavi del periodo comparabile) / ricavi del periodo comparabile × 100</t>
  </si>
  <si>
    <t xml:space="preserve">Variazione dei ricavi rispetto a un periodo realmente comparabile.</t>
  </si>
  <si>
    <t xml:space="preserve">Mensile e cumulata dall'inizio dell'anno.</t>
  </si>
  <si>
    <t xml:space="preserve">(1.200.000 - 1.100.000) / 1.100.000 × 100 = 9,09%.</t>
  </si>
  <si>
    <t xml:space="preserve">Prezzo medio di vendita</t>
  </si>
  <si>
    <t xml:space="preserve">Prezzo medio = ricavi netti delle unità vendute / unità vendute</t>
  </si>
  <si>
    <t xml:space="preserve">Ricavo netto medio per unità; risente del mix.</t>
  </si>
  <si>
    <t xml:space="preserve">Settimanale o mensile, per segmenti omogenei.</t>
  </si>
  <si>
    <t xml:space="preserve">500.000 / 10.000 = 50 euro per unità.</t>
  </si>
  <si>
    <t xml:space="preserve">Incidenza degli sconti</t>
  </si>
  <si>
    <t xml:space="preserve">Incidenza sconti = sconti commerciali concessi / valore lordo a listino delle vendite × 100</t>
  </si>
  <si>
    <t xml:space="preserve">Quota del valore a listino ceduta con gli sconti.</t>
  </si>
  <si>
    <t xml:space="preserve">Settimanale o mensile, per venditore e segmento.</t>
  </si>
  <si>
    <t xml:space="preserve">60.000 / 600.000 × 100 = 10,00%.</t>
  </si>
  <si>
    <t xml:space="preserve">Utilizzo della capacità</t>
  </si>
  <si>
    <t xml:space="preserve">Utilizzo = ore di capacità utilizzate / ore di capacità pratica disponibile × 100</t>
  </si>
  <si>
    <t xml:space="preserve">Quota della capacità pratica effettivamente usata.</t>
  </si>
  <si>
    <t xml:space="preserve">Settimanale o mensile.</t>
  </si>
  <si>
    <t xml:space="preserve">1.440 / 1.800 × 100 = 80,00%.</t>
  </si>
  <si>
    <t xml:space="preserve">Produttività per ora</t>
  </si>
  <si>
    <t xml:space="preserve">Produzione omogenea: unità conformi / ore effettive;  eterogenea: ore standard maturate / ore effettive × 100</t>
  </si>
  <si>
    <t xml:space="preserve">Output conforme per ora effettivamente impiegata.</t>
  </si>
  <si>
    <t xml:space="preserve">Giornaliera o settimanale.</t>
  </si>
  <si>
    <t xml:space="preserve">4.800 / 1.200 = 4 unità per ora.</t>
  </si>
  <si>
    <t xml:space="preserve">Costo unitario</t>
  </si>
  <si>
    <t xml:space="preserve">Costo unitario = costi compresi nella configurazione / unità equivalenti conformi</t>
  </si>
  <si>
    <t xml:space="preserve">Costo medio per unità secondo la configurazione dichiarata.</t>
  </si>
  <si>
    <t xml:space="preserve">Mensile, dichiarando la configurazione.</t>
  </si>
  <si>
    <t xml:space="preserve">300.000 / 12.000 = 25 euro.</t>
  </si>
  <si>
    <t xml:space="preserve">Tasso di non conformità e rilavorazione</t>
  </si>
  <si>
    <t xml:space="preserve">Non conformità = unità non conformi uniche / unità controllate × 100;  Rilavorazione = unità rilavorate / unità prodotte × 100</t>
  </si>
  <si>
    <t xml:space="preserve">Due indicatori distinti: non vanno fusi.</t>
  </si>
  <si>
    <t xml:space="preserve">Secondo il processo: giornaliera, settimanale o mensile.</t>
  </si>
  <si>
    <t xml:space="preserve">240 / 12.000 = 2,00%; 180 / 12.000 = 1,50%.</t>
  </si>
  <si>
    <t xml:space="preserve">Dal risultato operativo alla cassa</t>
  </si>
  <si>
    <t xml:space="preserve">Flusso di cassa operativo = risultato operativo + costi senza pagamento - aumento di crediti e scorte + aumento dei debiti verso fornitori</t>
  </si>
  <si>
    <t xml:space="preserve">Quanta parte del risultato diventa cassa operativa.</t>
  </si>
  <si>
    <t xml:space="preserve">Con il ciclo di conversione della cassa.</t>
  </si>
  <si>
    <t xml:space="preserve">242.000 + 74.000 - 180.000 + 0 + 0 = 136.000 euro; meno investimenti 74.000 = 62.000 euro.</t>
  </si>
  <si>
    <t xml:space="preserve">I termini del libro in ordine alfabetico, con il capitolo di riferimento.</t>
  </si>
  <si>
    <t xml:space="preserve">Termine</t>
  </si>
  <si>
    <t xml:space="preserve">Definizione</t>
  </si>
  <si>
    <t xml:space="preserve">Da non confondere con</t>
  </si>
  <si>
    <t xml:space="preserve">ABC - Activity Based Costing</t>
  </si>
  <si>
    <t xml:space="preserve">Metodo che attribuisce i costi delle risorse alle attività e successivamente agli oggetti di costo mediante driver coerenti.</t>
  </si>
  <si>
    <t xml:space="preserve">ABM: l'ABC misura, l'ABM usa quelle misure per intervenire sui processi.</t>
  </si>
  <si>
    <t xml:space="preserve">ABM - Activity Based Management</t>
  </si>
  <si>
    <t xml:space="preserve">Uso delle informazioni prodotte dall'ABC per ridurre sprechi, gestire capacità e migliorare redditività e processi.</t>
  </si>
  <si>
    <t xml:space="preserve">ABC, che è il metodo di calcolo.</t>
  </si>
  <si>
    <t xml:space="preserve">100% meno il WAPE. Indica la vicinanza complessiva della previsione al consuntivo, non la direzione dell'errore.</t>
  </si>
  <si>
    <t xml:space="preserve">Activity (attività)</t>
  </si>
  <si>
    <t xml:space="preserve">Operazione o insieme omogeneo di operazioni che consuma risorse per produrre un risultato interno o esterno.</t>
  </si>
  <si>
    <t xml:space="preserve">Allocazione</t>
  </si>
  <si>
    <t xml:space="preserve">Procedimento con cui un costo indiretto comune viene distribuito tra centri, attività o oggetti di costo.</t>
  </si>
  <si>
    <t xml:space="preserve">Attribuzione, che usa una misura osservabile del consumo senza ipotesi di riparto.</t>
  </si>
  <si>
    <t xml:space="preserve">Attribuzione</t>
  </si>
  <si>
    <t xml:space="preserve">Il costo arriva all'oggetto attraverso una misura osservabile del consumo.</t>
  </si>
  <si>
    <t xml:space="preserve">Allocazione.</t>
  </si>
  <si>
    <t xml:space="preserve">Base di allocazione</t>
  </si>
  <si>
    <t xml:space="preserve">Grandezza utilizzata per ripartire un costo indiretto, ad esempio ore macchina, ore di lavoro, metri quadrati o numero di ordini.</t>
  </si>
  <si>
    <t xml:space="preserve">Driver di costo in senso ABC: la base è corretta solo se rappresenta il consumo.</t>
  </si>
  <si>
    <t xml:space="preserve">Bias del forecast</t>
  </si>
  <si>
    <t xml:space="preserve">Somma di (forecast - consuntivo) divisa per la somma dei consuntivi in valore assoluto. Positivo indica sovrastima, negativo sottostima; va letto con il WAPE.</t>
  </si>
  <si>
    <t xml:space="preserve">Bilancio di verifica</t>
  </si>
  <si>
    <t xml:space="preserve">Prospetto contabile che elenca tutti i conti della contabilità generale con i rispettivi saldi, o con i totali dare e avere, a una certa data. Poiché ogni registrazione in partita doppia ha importi uguali in dare e in avere, il totale dare coincide con il totale avere; la quadratura però non dimostra che le registrazioni siano complete e corrette. Estratto a saldi, una riga per conto, è la fonte da cui si ricostruisce il Conto Economico gestionale e con cui lo si quadra.</t>
  </si>
  <si>
    <t xml:space="preserve">Break-even point</t>
  </si>
  <si>
    <t xml:space="preserve">Livello di attività o fatturato al quale ricavi totali e costi totali coincidono e il risultato operativo è pari a zero.</t>
  </si>
  <si>
    <t xml:space="preserve">Pareggio finanziario: il pareggio è economico, non di cassa.</t>
  </si>
  <si>
    <t xml:space="preserve">Piano quantitativo ed economico-finanziario che traduce obiettivi e responsabilità in ricavi, costi, investimenti, fabbisogni e risultati attesi.</t>
  </si>
  <si>
    <t xml:space="preserve">Forecast, che aggiorna la previsione con le informazioni più recenti.</t>
  </si>
  <si>
    <t xml:space="preserve">Budget flessibile</t>
  </si>
  <si>
    <t xml:space="preserve">Budget ricalcolato al livello effettivo di attività per separare l'effetto volume dagli scostamenti di prezzo, efficienza e consumo.</t>
  </si>
  <si>
    <t xml:space="preserve">Budget statico, costruito sul volume pianificato.</t>
  </si>
  <si>
    <t xml:space="preserve">Budget operativo</t>
  </si>
  <si>
    <t xml:space="preserve">Insieme dei programmi che formano il budget: parte dalle vendite, perché domanda e prezzi determinano gran parte delle attività successive, e segue la catena fino a produzione, acquisti, personale, costi indiretti e spese di struttura. Deve poi essere tradotto in incassi e pagamenti.</t>
  </si>
  <si>
    <t xml:space="preserve">Budget statico</t>
  </si>
  <si>
    <t xml:space="preserve">Budget costruito sul volume pianificato.</t>
  </si>
  <si>
    <t xml:space="preserve">Budget flessibile.</t>
  </si>
  <si>
    <t xml:space="preserve">Capacità</t>
  </si>
  <si>
    <t xml:space="preserve">Risorse rese disponibili dall'organizzazione (capacità fornita), di cui una parte viene assorbita dall'attività (capacità utilizzata).</t>
  </si>
  <si>
    <t xml:space="preserve">Spesa: liberare capacità non riduce automaticamente la spesa.</t>
  </si>
  <si>
    <t xml:space="preserve">Costo della capacità fornita meno costo della capacità utilizzata: va esposta come informazione gestionale, non nascosta nel costo unitario.</t>
  </si>
  <si>
    <t xml:space="preserve">Capacità ordinaria</t>
  </si>
  <si>
    <t xml:space="preserve">Capacità interna disponibile nelle normali condizioni di lavoro, senza straordinari né lavorazioni esterne; le ore oltre questa soglia sono capacità aggiuntiva, che nei casi del libro si chiama per brevità capacità esterna. È il riferimento per calcolare saturazione, ore mancanti o disponibili e il costo della capacità da acquistare. Non coincide necessariamente con la capacità pratica: nell’impresa guida le 21.000 ore sono la soglia oltre la quale serve capacità aggiuntiva, mentre il caso non indica la capacità pratica del reparto.</t>
  </si>
  <si>
    <t xml:space="preserve">Capacità pratica</t>
  </si>
  <si>
    <t xml:space="preserve">Capacità disponibile in condizioni operative normali, al netto di pause, manutenzioni e indisponibilità normali. È la base dell'utilizzo della capacità.</t>
  </si>
  <si>
    <t xml:space="preserve">Capitale circolante operativo</t>
  </si>
  <si>
    <t xml:space="preserve">Crediti commerciali più scorte meno debiti commerciali. Un suo aumento, a parità di attività, accresce il fabbisogno finanziario.</t>
  </si>
  <si>
    <t xml:space="preserve">Capitale investito operativo</t>
  </si>
  <si>
    <t xml:space="preserve">Risorse impiegate nella gestione caratteristica: immobilizzazioni operative più capitale circolante operativo, escluse poste finanziarie o estranee. Nei rapporti con grandezze di flusso si usa il valore medio.</t>
  </si>
  <si>
    <t xml:space="preserve">Centro di costo</t>
  </si>
  <si>
    <t xml:space="preserve">Unità organizzativa o logica nella quale vengono raccolti costi omogenei per responsabilità e attività, prima del trasferimento agli oggetti finali.</t>
  </si>
  <si>
    <t xml:space="preserve">Oggetto di costo finale (prodotto, cliente, commessa).</t>
  </si>
  <si>
    <t xml:space="preserve">Centro di responsabilità</t>
  </si>
  <si>
    <t xml:space="preserve">Unità organizzativa a cui si assegna un obiettivo economico insieme alle leve per raggiungerlo; secondo ciò che il responsabile governa è un centro di costo, di ricavo, di profitto o di investimento, e risponde soltanto di ciò che può influenzare.</t>
  </si>
  <si>
    <t xml:space="preserve">Chiave univoca</t>
  </si>
  <si>
    <t xml:space="preserve">Campo, o combinazione di campi, che identifica una e una sola riga di un file, come l’identificativo della riga documento o del movimento contabile. Permette di trovare i duplicati, di collegare file diversi e di raccordare il dettaglio con il saldo; il suo controllo fa parte della validazione preliminare dei dati, e una chiave mancante arresta il lavoro.</t>
  </si>
  <si>
    <t xml:space="preserve">Giorni di incasso più giorni di giacenza meno giorni di pagamento: per quanti giorni il ciclo operativo assorbe finanziamento.</t>
  </si>
  <si>
    <t xml:space="preserve">Tariffa ottenuta dividendo il costo del pool o del centro per la quantità totale della base di allocazione. Moltiplicata per la base assorbita da ciascun oggetto determina la quota di costo attribuita.</t>
  </si>
  <si>
    <t xml:space="preserve">Insieme dei valori effettivamente maturati o registrati in un periodo, dopo i necessari controlli di completezza, competenza e riconciliazione.</t>
  </si>
  <si>
    <t xml:space="preserve">Contabilità analitica</t>
  </si>
  <si>
    <t xml:space="preserve">Sistema interno che rielabora costi e ricavi per prodotto, cliente, canale, commessa, centro o attività, a supporto delle decisioni gestionali.</t>
  </si>
  <si>
    <t xml:space="preserve">Contabilità generale.</t>
  </si>
  <si>
    <t xml:space="preserve">Contabilità generale</t>
  </si>
  <si>
    <t xml:space="preserve">Sistema che registra i fatti aziendali e rappresenta risultato economico, patrimonio e situazione finanziaria dell'impresa nel suo complesso.</t>
  </si>
  <si>
    <t xml:space="preserve">Contabilità analitica.</t>
  </si>
  <si>
    <t xml:space="preserve">Controller</t>
  </si>
  <si>
    <t xml:space="preserve">trasversale</t>
  </si>
  <si>
    <t xml:space="preserve">Professionista che in azienda svolge il controllo di gestione: prepara budget, analisi dei costi e degli scostamenti e reporting, verifica i numeri con la contabilità e li traduce in informazioni per le decisioni della direzione.</t>
  </si>
  <si>
    <t xml:space="preserve">Controllo di gestione</t>
  </si>
  <si>
    <t xml:space="preserve">Insieme di strumenti con cui un’impresa programma i propri risultati economici, li misura e interviene quando si discostano da quanto previsto: contabilità analitica, sistemi di costo, budget, analisi degli scostamenti, analisi per le decisioni e KPI.</t>
  </si>
  <si>
    <t xml:space="preserve">Cost driver</t>
  </si>
  <si>
    <t xml:space="preserve">Misura che esprime la causa o l'intensità con cui un'attività viene richiesta, ad esempio numero di ordini, setup o controlli.</t>
  </si>
  <si>
    <t xml:space="preserve">Driver di risorsa, che porta le risorse alle attività.</t>
  </si>
  <si>
    <t xml:space="preserve">Cost to serve (costo di servizio)</t>
  </si>
  <si>
    <t xml:space="preserve">Costo delle attività con cui il cliente viene servito: ordini, consegne, resi, assistenza, credito, personalizzazioni.</t>
  </si>
  <si>
    <t xml:space="preserve">Valore monetario delle risorse consumate per ottenere un risultato o sostenere un'attività.</t>
  </si>
  <si>
    <t xml:space="preserve">Pagamento e acquisto.</t>
  </si>
  <si>
    <t xml:space="preserve">Costo differenziale</t>
  </si>
  <si>
    <t xml:space="preserve">Variazione dei costi futuri provocata dalla scelta di un'alternativa rispetto a un'altra; con i ricavi differenziali forma il risultato differenziale.</t>
  </si>
  <si>
    <t xml:space="preserve">Costo pieno.</t>
  </si>
  <si>
    <t xml:space="preserve">Costo diretto</t>
  </si>
  <si>
    <t xml:space="preserve">Costo attribuibile a uno specifico oggetto mediante misurazione diretta, senza ricorrere a criteri di riparto.</t>
  </si>
  <si>
    <t xml:space="preserve">Costo variabile: diretto descrive la riferibilità, variabile il comportamento.</t>
  </si>
  <si>
    <t xml:space="preserve">Costo evitabile</t>
  </si>
  <si>
    <t xml:space="preserve">Costo che scompare, interamente o in parte, scegliendo una determinata alternativa.</t>
  </si>
  <si>
    <t xml:space="preserve">Costo allocato: una quota allocata non è automaticamente evitabile.</t>
  </si>
  <si>
    <t xml:space="preserve">Costo fisso</t>
  </si>
  <si>
    <t xml:space="preserve">Costo totale che, entro un determinato intervallo di attività e di tempo, non varia al variare del volume.</t>
  </si>
  <si>
    <t xml:space="preserve">Costo indiretto.</t>
  </si>
  <si>
    <t xml:space="preserve">Costo incrementale</t>
  </si>
  <si>
    <t xml:space="preserve">Costo aggiuntivo che nasce solo scegliendo un'alternativa: costi variabili e fissi incrementali specifici.</t>
  </si>
  <si>
    <t xml:space="preserve">Costo indiretto</t>
  </si>
  <si>
    <t xml:space="preserve">Costo comune a più oggetti, non attribuibile direttamente in modo economicamente conveniente e quindi soggetto a un criterio di allocazione.</t>
  </si>
  <si>
    <t xml:space="preserve">Costo fisso: un costo indiretto può essere variabile.</t>
  </si>
  <si>
    <t xml:space="preserve">Costo che contiene una componente fissa e una componente variabile, come una tariffa con una quota mensile fissa e un importo per ogni transazione. Esiste anche in assenza di operazioni, ma cresce con l’attività; per prevederlo occorre separare le due componenti.</t>
  </si>
  <si>
    <t xml:space="preserve">Beneficio della migliore alternativa a cui si rinuncia utilizzando una risorsa. Non compare in contabilità, ma è rilevante quando la risorsa è scarsa; se la risorsa non ha un impiego alternativo può essere nullo.</t>
  </si>
  <si>
    <t xml:space="preserve">Costo sommerso.</t>
  </si>
  <si>
    <t xml:space="preserve">Somma dei costi diretti e delle quote di costi indiretti attribuite a un oggetto secondo il perimetro prescelto.</t>
  </si>
  <si>
    <t xml:space="preserve">Costo rilevante.</t>
  </si>
  <si>
    <t xml:space="preserve">Costo rilevante</t>
  </si>
  <si>
    <t xml:space="preserve">15, 16</t>
  </si>
  <si>
    <t xml:space="preserve">Costo futuro che cambia tra le alternative considerate ed è quindi utile per il confronto decisionale.</t>
  </si>
  <si>
    <t xml:space="preserve">Costo già sostenuto e non recuperabile che nessuna alternativa futura può modificare e che deve essere escluso dal confronto decisionale.</t>
  </si>
  <si>
    <t xml:space="preserve">Costo opportunità.</t>
  </si>
  <si>
    <t xml:space="preserve">Costo standard</t>
  </si>
  <si>
    <t xml:space="preserve">Valore costruito prima dell'attività su condizioni definite: quanto una risorsa dovrebbe costare e quanto dovrebbe esserne usato.</t>
  </si>
  <si>
    <t xml:space="preserve">Media del passato o costo preventivo.</t>
  </si>
  <si>
    <t xml:space="preserve">Costo totale di una configurazione dichiarata, variabile, industriale o piena, diviso per le unità conformi o equivalenti a cui si riferisce. Quando include costi fissi varia con il volume; per questo non va usato come costo rilevante di una decisione senza verificarne la composizione.</t>
  </si>
  <si>
    <t xml:space="preserve">Costo totale che varia in relazione al livello di attività secondo una funzione definita.</t>
  </si>
  <si>
    <t xml:space="preserve">Costo diretto.</t>
  </si>
  <si>
    <t xml:space="preserve">Cruscotto direzionale</t>
  </si>
  <si>
    <t xml:space="preserve">Insieme selezionato di indicatori, confronti e segnali che sostiene una responsabilità decisionale: andamento, scostamenti, cause e azioni, senza accumulare misure prive di priorità.</t>
  </si>
  <si>
    <t xml:space="preserve">CSV (file)</t>
  </si>
  <si>
    <t xml:space="preserve">Formato di testo semplice in cui ogni riga è un record e i campi sono separati da un carattere stabilito, di solito la virgola o il punto e virgola. È il formato più comune delle estrazioni dal gestionale e dei file caricati negli strumenti di IA; prima dell’uso vanno verificati separatore, simbolo dei decimali, formato delle date, riga di intestazione e numero delle righe.</t>
  </si>
  <si>
    <t xml:space="preserve">Dare e avere</t>
  </si>
  <si>
    <t xml:space="preserve">Le due sezioni di ogni conto nella partita doppia: in dare si registrano, fra l’altro, i costi e gli aumenti delle attività, in avere i ricavi e gli aumenti delle passività e del patrimonio netto. In ogni registrazione gli importi in dare e in avere si equivalgono, e per questo il bilancio di verifica deve chiudere con il totale dare uguale al totale avere.</t>
  </si>
  <si>
    <t xml:space="preserve">Dataset gestionale</t>
  </si>
  <si>
    <t xml:space="preserve">Insieme strutturato di dati destinato a un’analisi, con campi, unità di misura, periodi, granularità e regole di qualità espliciti. Un dataset non riconciliato può produrre risultati formalmente corretti ma gestionalmente falsi.</t>
  </si>
  <si>
    <t xml:space="preserve">Direct Costing</t>
  </si>
  <si>
    <t xml:space="preserve">Metodo che attribuisce agli oggetti i costi variabili e, nella versione evoluta, anche i costi fissi specifici.</t>
  </si>
  <si>
    <t xml:space="preserve">Full Costing.</t>
  </si>
  <si>
    <t xml:space="preserve">Grandezza che spiega il consumo della risorsa: unità, ore macchina, ore lavoro, ordini, consegne, ticket.</t>
  </si>
  <si>
    <t xml:space="preserve">EBIT</t>
  </si>
  <si>
    <t xml:space="preserve">Risultato operativo dopo ammortamenti e svalutazioni operative, prima di oneri finanziari e imposte. È il numeratore di ROS e ROI; non va sostituito con l'utile netto o con l'EBITDA.</t>
  </si>
  <si>
    <t xml:space="preserve">EBITDA</t>
  </si>
  <si>
    <t xml:space="preserve">Risultato operativo prima di ammortamenti, svalutazioni, interessi e imposte, cioè l'EBIT più ammortamenti e svalutazioni operative. Il perimetro di calcolo va dichiarato e mantenuto coerente.</t>
  </si>
  <si>
    <t xml:space="preserve">Parte dello scostamento del margine di contribuzione dovuta alla diversa composizione delle vendite, a parità di quantità totale. Si può calcolare in più modi, e il prospetto deve dichiarare quello usato.</t>
  </si>
  <si>
    <t xml:space="preserve">Parte dello scostamento del margine di contribuzione dovuta alla variazione della quantità totale venduta, valutata al margine unitario medio di budget.</t>
  </si>
  <si>
    <t xml:space="preserve">Estrazione (dal gestionale)</t>
  </si>
  <si>
    <t xml:space="preserve">File esportato dal gestionale per un’analisi, per esempio il venduto per riga documento, il partitario dei costi, le ore di reparto o il bilancio di verifica a saldi. Si usa così come il sistema la esporta, non nella versione impaginata per la stampa, e prima dell’elaborazione se ne controllano periodo, entità, colonne, numero delle righe e totali.</t>
  </si>
  <si>
    <t xml:space="preserve">Fase 0</t>
  </si>
  <si>
    <t xml:space="preserve">La prima delle sei fasi, numerate da 0 a 5, del Protocollo universale di elaborazione e controllo: prima di qualsiasi calcolo si verificano file, periodo, entità, schema, chiave univoca, tipi, segni, unità, conteggio delle righe, duplicati, valori mancanti e totali. Un errore critico arresta il lavoro: il controllo ha esito FAIL e si consegna soltanto il registro delle eccezioni.</t>
  </si>
  <si>
    <t xml:space="preserve">Fattore scarso</t>
  </si>
  <si>
    <t xml:space="preserve">Risorsa la cui disponibilità limita produzione o vendite. In presenza di un vincolo, le alternative vanno ordinate per margine generato per unità del fattore.</t>
  </si>
  <si>
    <t xml:space="preserve">Forecast</t>
  </si>
  <si>
    <t xml:space="preserve">Previsione aggiornata dell'esito atteso, costruita usando consuntivi disponibili, driver correnti e ipotesi sul periodo residuo.</t>
  </si>
  <si>
    <t xml:space="preserve">Budget.</t>
  </si>
  <si>
    <t xml:space="preserve">Full Costing</t>
  </si>
  <si>
    <t xml:space="preserve">Metodo che attribuisce agli oggetti sia i costi diretti sia quote di costi indiretti, producendo una configurazione di costo pieno.</t>
  </si>
  <si>
    <t xml:space="preserve">Direct Costing.</t>
  </si>
  <si>
    <t xml:space="preserve">Funzione di costo a tratti</t>
  </si>
  <si>
    <t xml:space="preserve">Costo che si comporta in un modo fino a una soglia di attività e in un altro oltre la soglia. Nell’impresa guida è la capacità esterna: entro le 21.000 ore macchina interne non costa nulla, oltre costa 28 euro per ogni ora in più.</t>
  </si>
  <si>
    <t xml:space="preserve">Gestionale</t>
  </si>
  <si>
    <t xml:space="preserve">Nel linguaggio aziendale, il software con cui l’impresa registra contabilità e operazioni, come ordini, vendite, acquisti, magazzino e produzione; è chiamato anche sistema gestionale o ERP. È la fonte delle estrazioni su cui lavora il controller. Come aggettivo, invece, indica nel volume la lettura economica interna, per esempio nel Conto Economico gestionale.</t>
  </si>
  <si>
    <t xml:space="preserve">Rimanenze medie divise per il costo del venduto, per i giorni del periodo: tempo medio in cui il valore resta nelle scorte.</t>
  </si>
  <si>
    <t xml:space="preserve">Crediti commerciali medi divisi per le vendite a credito, per i giorni del periodo: tempo medio per incassare i crediti.</t>
  </si>
  <si>
    <t xml:space="preserve">Debiti commerciali medi divisi per gli acquisti a credito, per i giorni del periodo: quanta parte del ciclo è finanziata dai fornitori.</t>
  </si>
  <si>
    <t xml:space="preserve">Intelligenza artificiale (IA)</t>
  </si>
  <si>
    <t xml:space="preserve">Insieme di strumenti capaci di produrre testi, formule, codice, classificazioni, analisi e ipotesi a partire da istruzioni e dati; il capitolo 19 ne usa tre per i lavori tipici del controller. Nel controllo di gestione accelera il lavoro, ma non certifica né sostituisce la verifica dei risultati.</t>
  </si>
  <si>
    <t xml:space="preserve">Intervallo di rilevanza</t>
  </si>
  <si>
    <t xml:space="preserve">Intervallo di attività e di tempo entro cui una relazione di costo resta valida.</t>
  </si>
  <si>
    <t xml:space="preserve">KPI</t>
  </si>
  <si>
    <t xml:space="preserve">Indicatore chiave collegato a un obiettivo e a una decisione: deve avere formula, fonte, frequenza, perimetro, target, soglia e responsabile definiti, e un'azione prevista in caso di scostamento.</t>
  </si>
  <si>
    <t xml:space="preserve">Rapporto tra margine di contribuzione e risultato operativo: misura la sensibilità del risultato alle variazioni di volume nel punto osservato.</t>
  </si>
  <si>
    <t xml:space="preserve">Decisione che confronta produzione interna e acquisto esterno. Il prezzo del fornitore non va confrontato automaticamente con il costo pieno interno, perché il costo pieno contiene quote che possono restare anche dopo l’esternalizzazione: il confronto corretto usa costi evitabili, costi incrementali, opportunità e conseguenze operative.</t>
  </si>
  <si>
    <t xml:space="preserve">Mapping (mappatura)</t>
  </si>
  <si>
    <t xml:space="preserve">Tabella di corrispondenza che collega i codici di una fonte, come conti, centri o prodotti, alle voci di un’altra struttura, per esempio le righe del prospetto gestionale, le classi di costo o le attività. Si costruisce una volta, va datata e mantenuta nel tempo; i codici non mappati non si attribuiscono a intuito, ma si elencano a parte con importo e descrizione.</t>
  </si>
  <si>
    <t xml:space="preserve">Differenza tra ricavi e costi variabili. Misura quanto resta per coprire i costi fissi e formare il risultato.</t>
  </si>
  <si>
    <t xml:space="preserve">Utile.</t>
  </si>
  <si>
    <t xml:space="preserve">Differenza tra vendite previste e vendite di pareggio: misura quanto le vendite possono scendere prima di raggiungere il pareggio.</t>
  </si>
  <si>
    <t xml:space="preserve">Margine operativo</t>
  </si>
  <si>
    <t xml:space="preserve">Risultato della gestione caratteristica: ricavi meno costi operativi, prima di oneri finanziari e imposte. È un altro nome del risultato operativo, che è il termine usato nel volume; il suo rapporto con i ricavi è il ROS.</t>
  </si>
  <si>
    <t xml:space="preserve">Margine sul prezzo (margin)</t>
  </si>
  <si>
    <t xml:space="preserve">Margine espresso come percentuale del prezzo di vendita, (prezzo - costo) / prezzo.</t>
  </si>
  <si>
    <t xml:space="preserve">Ricarico sul costo (markup).</t>
  </si>
  <si>
    <t xml:space="preserve">Mix produttivo (o di vendita)</t>
  </si>
  <si>
    <t xml:space="preserve">Combinazione delle quantità dei diversi prodotti, servizi, clienti o canali che influenza margine complessivo e utilizzo della capacità.</t>
  </si>
  <si>
    <t xml:space="preserve">N/D (dato mancante)</t>
  </si>
  <si>
    <t xml:space="preserve">Valore esposto quando un input obbligatorio manca o non è riconciliato con la fonte, o quando il denominatore è nullo, con la causa indicata. Uno zero reale e riconciliato resta zero.</t>
  </si>
  <si>
    <t xml:space="preserve">Entità di cui si vuole misurare il costo o la redditività, ad esempio prodotto, servizio, cliente, canale, commessa o processo.</t>
  </si>
  <si>
    <t xml:space="preserve">Centro di costo.</t>
  </si>
  <si>
    <t xml:space="preserve">OOXML</t>
  </si>
  <si>
    <t xml:space="preserve">Office Open XML, lo standard aperto con cui sono costruiti i file di Excel, Word e PowerPoint, come .xlsx, .docx e .pptx. Nei file generati via codice le formule si scrivono con i nomi inglesi delle funzioni e con i separatori del formato, anche se l’interfaccia le mostra in italiano: per esempio NA() nel codice corrisponde a NON.DISP() nell’interfaccia italiana.</t>
  </si>
  <si>
    <t xml:space="preserve">Output da verificare</t>
  </si>
  <si>
    <t xml:space="preserve">Testo, formula, tabella, codice o interpretazione generata da uno strumento di IA e non ancora verificata. Può essere plausibile ma contenere dati inventati, riferimenti errati o calcoli incoerenti; come la bozza prodotta dallo strumento, è materiale di lavoro, non un documento.</t>
  </si>
  <si>
    <t xml:space="preserve">Partitario</t>
  </si>
  <si>
    <t xml:space="preserve">Elenco dei movimenti o dei saldi di uno o più conti, con data, conto, descrizione e importo e, quando serve, centro di costo. Nel volume il partitario dei costi della struttura dell’impresa guida è la fonte da cui la contabilità analitica ricolloca gli importi per destinazione, centro e attività.</t>
  </si>
  <si>
    <t xml:space="preserve">PASS, WARN e FAIL</t>
  </si>
  <si>
    <t xml:space="preserve">Esiti con cui si registra ogni controllo di quadratura, esposto come valore A, valore B, differenza e tolleranza: PASS indica che il controllo è superato, WARN che richiede una verifica o una spiegazione prima dell’uso, FAIL che non è superato. Un risultato con esito FAIL non è pubblicabile né utilizzabile in una decisione.</t>
  </si>
  <si>
    <t xml:space="preserve">Ponte degli scostamenti</t>
  </si>
  <si>
    <t xml:space="preserve">Prospetto che spiega il passaggio dal risultato di budget al consuntivo con componenti calcolate, senza righe ottenute come residuo.</t>
  </si>
  <si>
    <t xml:space="preserve">Prezzo interno</t>
  </si>
  <si>
    <t xml:space="preserve">Valore al quale un centro cede beni o servizi a un altro centro della stessa impresa; sposta risultato da un centro all’altro senza cambiare quello dell’impresa.</t>
  </si>
  <si>
    <t xml:space="preserve">Prezzo minimo</t>
  </si>
  <si>
    <t xml:space="preserve">Soglia di prezzo sotto la quale un'offerta non soddisfa il criterio economico definito; varia con capacità, orizzonte e costi rilevanti.</t>
  </si>
  <si>
    <t xml:space="preserve">Prezzo ombra</t>
  </si>
  <si>
    <t xml:space="preserve">Valore di un’ora aggiuntiva di una risorsa vincolata, indicato dal modello di ottimizzazione del mix. Vale per variazioni limitate della capacità e, quando i vincoli sono più di uno, può differire dal margine per unità di fattore scarso calcolato con un solo vincolo, perché un’ora in più di una risorsa può essere sfruttata solo spostando il mix e consumando anche l’altra risorsa.</t>
  </si>
  <si>
    <t xml:space="preserve">Processo con cui si progettano, applicano e controllano prezzi, sconti e condizioni commerciali integrando costi, valore, domanda e capacità.</t>
  </si>
  <si>
    <t xml:space="preserve">Prompt operativo</t>
  </si>
  <si>
    <t xml:space="preserve">Istruzione strutturata fornita a uno strumento di IA, contenente obiettivo, dati, regole, formato di uscita e controlli richiesti; nel capitolo 19 è chiamata «richiesta professionale». Un buon prompt rende il risultato più verificabile, ma non sostituisce dati corretti e validazione.</t>
  </si>
  <si>
    <t xml:space="preserve">Protocollo universale di elaborazione e controllo</t>
  </si>
  <si>
    <t xml:space="preserve">Sequenza di sei fasi, numerate da 0 a 5, che ogni lavoro del capitolo 19 segue: validazione dei dati prima del calcolo (Fase 0), calcolo con formule dichiarate e archiviate, quadrature con esito PASS, WARN o FAIL, prove su un caso noto e sui casi limite, consegna di dati letti ed esclusi, mapping, eccezioni, controlli, risultato e ipotesi, divieto di usare in una decisione un risultato con esito FAIL. Lo strumento lo applica soltanto se il testo è incollato in testa alla richiesta o caricato nel progetto.</t>
  </si>
  <si>
    <t xml:space="preserve">Valore del volume, del prezzo o di un altro driver in corrispondenza del quale due alternative producono lo stesso risultato economico.</t>
  </si>
  <si>
    <t xml:space="preserve">Controllo che verifica la coincidenza fra due totali che devono corrispondere, per esempio la somma dei centri e il totale del partitario, o il margine del prospetto e quello del Conto Economico gestionale. Si mostra come valore A, valore B, differenza e tolleranza; una differenza va nominata e spiegata, non arrotondata. È il passaggio centrale della riconciliazione e precede ogni allocazione o elaborazione.</t>
  </si>
  <si>
    <t xml:space="preserve">Registro delle eccezioni</t>
  </si>
  <si>
    <t xml:space="preserve">Elenco, consegnato insieme al risultato, di ciò che l’elaborazione non ha potuto trattare secondo le regole della richiesta: codici non mappati, movimenti senza centro valido, chiavi mancanti o duplicate, quadrature non superate, ciascuno con il motivo e, quando c’è, il numero di righe e l’importo. Quando una chiave manca, una quadratura non passa o un mapping critico resta irrisolto, il controllo ha esito FAIL, il calcolo si arresta e lo strumento consegna soltanto il registro delle eccezioni.</t>
  </si>
  <si>
    <t xml:space="preserve">Trasferimento dei costi accumulati nei centri ausiliari o di struttura verso centri destinatari o oggetti finali. Deve seguire basi coerenti con i servizi effettivamente resi e, nel metodo a cascata, una sequenza dichiarata.</t>
  </si>
  <si>
    <t xml:space="preserve">Ricarico sul costo (markup)</t>
  </si>
  <si>
    <t xml:space="preserve">Ricarico espresso come percentuale del costo, (prezzo - costo) / costo; prezzo con ricarico = costo × (1 + percentuale di ricarico).</t>
  </si>
  <si>
    <t xml:space="preserve">Margine sul prezzo (margin).</t>
  </si>
  <si>
    <t xml:space="preserve">Controllo che collega un risultato analitico alla fonte contabile o gestionale, spiegando differenze di perimetro, periodo e classificazione.</t>
  </si>
  <si>
    <t xml:space="preserve">Quadratura: la quadratura verifica il totale, non la correttezza economica.</t>
  </si>
  <si>
    <t xml:space="preserve">Rapporto tra risultato operativo (EBIT) e capitale investito operativo medio. Si scompone in ROS per rotazione del capitale, con dati omogenei.</t>
  </si>
  <si>
    <t xml:space="preserve">Rapporto tra risultato operativo (EBIT) e ricavi netti. Esprime il risultato operativo prodotto da ogni 100 euro di vendita.</t>
  </si>
  <si>
    <t xml:space="preserve">Ricavi netti divisi per il capitale investito operativo medio: quanti euro di ricavi si generano per ogni euro medio investito. Moltiplicata per il ROS dà il ROI.</t>
  </si>
  <si>
    <t xml:space="preserve">Run rate</t>
  </si>
  <si>
    <t xml:space="preserve">Effetto a regime delle decisioni già prese, che nel budget si tiene separato dai driver di volumi, prezzi e attività e dalle iniziative nuove.</t>
  </si>
  <si>
    <t xml:space="preserve">Grado di utilizzo della capacità disponibile. Sotto il 100% segnala capacità inutilizzata; oltre il 100% indica fabbisogno aggiuntivo.</t>
  </si>
  <si>
    <t xml:space="preserve">Insieme coerente di ipotesi su volumi, prezzi, costi, capacità e altri driver: non è una previsione isolata, ma una configurazione alternativa utile a misurare conseguenze, rischi e punti di tenuta.</t>
  </si>
  <si>
    <t xml:space="preserve">Scostamento</t>
  </si>
  <si>
    <t xml:space="preserve">Differenza tra un valore consuntivo e il riferimento adottato, come budget, standard o periodo precedente, da scomporre nelle cause rilevanti.</t>
  </si>
  <si>
    <t xml:space="preserve">Scritture di assestamento</t>
  </si>
  <si>
    <t xml:space="preserve">Registrazioni di fine periodo che non nascono da un nuovo scambio con l’esterno ma riportano ciascun valore al periodo di competenza, come ammortamenti, ratei e risconti; solo dopo l’assestamento i dati della contabilità generale sono affidabili per competenza.</t>
  </si>
  <si>
    <t xml:space="preserve">Margine di contribuzione meno costi fissi specifici del segmento.</t>
  </si>
  <si>
    <t xml:space="preserve">Nell’impresa guida, i 736.000 euro di costi della struttura senza la capacità esterna: sommati agli 84.000 euro di capacità esterna danno gli 820.000 euro dei costi della struttura.</t>
  </si>
  <si>
    <t xml:space="preserve">Target</t>
  </si>
  <si>
    <t xml:space="preserve">Valore obiettivo assegnato a un indicatore entro un periodo definito, coerente con risorse, responsabilità e soglie di intervento. Non va confuso con il valore previsto dal forecast.</t>
  </si>
  <si>
    <t xml:space="preserve">Tasso di non conformità</t>
  </si>
  <si>
    <t xml:space="preserve">Unità non conformi, contate una sola volta, divise per le unità controllate × 100. Non coincide con la rilavorazione: una non conformità può essere scartata, accettata in deroga o rilavorata.</t>
  </si>
  <si>
    <t xml:space="preserve">TDABC - Time-Driven ABC</t>
  </si>
  <si>
    <t xml:space="preserve">Variante dell'ABC che calcola un costo per unità di capacità (per minuto: costo delle risorse / minuti di capacità pratica) e usa equazioni di tempo.</t>
  </si>
  <si>
    <t xml:space="preserve">Throughput</t>
  </si>
  <si>
    <t xml:space="preserve">Valore generato dalle vendite al netto dei costi realmente variabili, osservato in rapporto al vincolo del sistema. Aiuta a scegliere il mix che massimizza il contributo complessivo quando una risorsa è limitata.</t>
  </si>
  <si>
    <t xml:space="preserve">TIR - Tasso Interno di Rendimento</t>
  </si>
  <si>
    <t xml:space="preserve">Tasso che rende il VAN pari a zero.</t>
  </si>
  <si>
    <t xml:space="preserve">Unità equivalenti</t>
  </si>
  <si>
    <t xml:space="preserve">Produzione espressa in unità finite: le unità ancora in lavorazione si convertono in unità complete in base al grado di avanzamento.</t>
  </si>
  <si>
    <t xml:space="preserve">Validazione e revisione umana</t>
  </si>
  <si>
    <t xml:space="preserve">Verifica professionale di dati, formule, ipotesi, riconciliazioni e interpretazioni prima che un risultato venga comunicato o usato. Nel capitolo 19 la validazione segue il Protocollo universale di elaborazione e controllo; la revisione umana trasforma poi i prospetti verificati in commento gestionale. Nel lavoro assistito dall'IA resta responsabilità del controller e deve essere documentabile e ripetibile.</t>
  </si>
  <si>
    <t xml:space="preserve">VAN - Valore Attuale Netto</t>
  </si>
  <si>
    <t xml:space="preserve">Somma dei flussi differenziali attualizzati al tasso minimo richiesto: VAN = somma dei flussi_t / (1 + r)^t.</t>
  </si>
  <si>
    <t xml:space="preserve">WAPE</t>
  </si>
  <si>
    <t xml:space="preserve">Errore percentuale assoluto ponderato: somma degli errori assoluti di previsione divisa per la somma dei consuntivi in valore assoluto. Non indica la direzione dell'errore e va letto con il bias.</t>
  </si>
  <si>
    <t xml:space="preserve">ESEMPIO DI BILANCIO - SOCIETÀ ALFA S.P.A. 2024</t>
  </si>
  <si>
    <t xml:space="preserve">Bilancio di esempio con numeri inventati per gli esercizi: non corrisponde a nessuna società reale. Le colonne Variazione, Variazione %, % Attivo 2024, % Ricavi 2024 e % sul flusso operativo sono calcolate nel file; per le voci del passivo e netto la % Attivo 2024 è calcolata sul totale attivo, uguale al totale del passivo e netto.</t>
  </si>
  <si>
    <t xml:space="preserve">STATO PATRIMONIALE - PRINCIPALI VOCI</t>
  </si>
  <si>
    <t xml:space="preserve">2024</t>
  </si>
  <si>
    <t xml:space="preserve">2023</t>
  </si>
  <si>
    <t xml:space="preserve">Variazione</t>
  </si>
  <si>
    <t xml:space="preserve">Variazione %</t>
  </si>
  <si>
    <t xml:space="preserve">% Attivo 2024</t>
  </si>
  <si>
    <t xml:space="preserve">Lettura</t>
  </si>
  <si>
    <t xml:space="preserve">Immobilizzazioni immateriali</t>
  </si>
  <si>
    <t xml:space="preserve">Software, brevetti e costi pluriennali.</t>
  </si>
  <si>
    <t xml:space="preserve">Bilancio 2024 - SP</t>
  </si>
  <si>
    <t xml:space="preserve">Immobilizzazioni materiali</t>
  </si>
  <si>
    <t xml:space="preserve">Impianti e macchinari dello stabilimento: principale investimento dell'anno.</t>
  </si>
  <si>
    <t xml:space="preserve">Immobilizzazioni finanziarie</t>
  </si>
  <si>
    <t xml:space="preserve">Partecipazioni e crediti immobilizzati.</t>
  </si>
  <si>
    <t xml:space="preserve">Rimanenze</t>
  </si>
  <si>
    <t xml:space="preserve">Materie prime, semilavorati e prodotti finiti.</t>
  </si>
  <si>
    <t xml:space="preserve">Crediti verso clienti</t>
  </si>
  <si>
    <t xml:space="preserve">Crediti commerciali netti, in calo nonostante la crescita dei ricavi.</t>
  </si>
  <si>
    <t xml:space="preserve">Altri crediti e imposte anticipate</t>
  </si>
  <si>
    <t xml:space="preserve">Crediti tributari, altri crediti e imposte anticipate.</t>
  </si>
  <si>
    <t xml:space="preserve">Disponibilità liquide</t>
  </si>
  <si>
    <t xml:space="preserve">Liquidità in aumento moderato.</t>
  </si>
  <si>
    <t xml:space="preserve">Ratei e risconti attivi</t>
  </si>
  <si>
    <t xml:space="preserve">Componenti di competenza temporale.</t>
  </si>
  <si>
    <t xml:space="preserve">TOTALE ATTIVO</t>
  </si>
  <si>
    <t xml:space="preserve">Totale dell'attivo.</t>
  </si>
  <si>
    <t xml:space="preserve">Patrimonio netto (di cui utile dell'esercizio: 643.265 nel 2024, 596.110 nel 2023)</t>
  </si>
  <si>
    <t xml:space="preserve">Mezzi propri, comprensivi dell'utile dell'esercizio.</t>
  </si>
  <si>
    <t xml:space="preserve">Fondi rischi e oneri</t>
  </si>
  <si>
    <t xml:space="preserve">Passività stimate.</t>
  </si>
  <si>
    <t xml:space="preserve">TFR</t>
  </si>
  <si>
    <t xml:space="preserve">Debito verso dipendenti maturato.</t>
  </si>
  <si>
    <t xml:space="preserve">Debiti verso banche</t>
  </si>
  <si>
    <t xml:space="preserve">Indebitamento bancario in calo per i rimborsi dell'anno.</t>
  </si>
  <si>
    <t xml:space="preserve">Debiti verso fornitori</t>
  </si>
  <si>
    <t xml:space="preserve">Debiti commerciali in crescita contenuta.</t>
  </si>
  <si>
    <t xml:space="preserve">Altri debiti correnti principali</t>
  </si>
  <si>
    <t xml:space="preserve">Debiti tributari, previdenziali, altri debiti e controllate.</t>
  </si>
  <si>
    <t xml:space="preserve">Ratei e risconti passivi</t>
  </si>
  <si>
    <t xml:space="preserve">TOTALE PASSIVO E NETTO</t>
  </si>
  <si>
    <t xml:space="preserve">Quadratura con il totale attivo.</t>
  </si>
  <si>
    <t xml:space="preserve">CONTO ECONOMICO - 2024 CONTRO 2023</t>
  </si>
  <si>
    <t xml:space="preserve">% Ricavi 2024</t>
  </si>
  <si>
    <t xml:space="preserve">Ricavi delle vendite</t>
  </si>
  <si>
    <t xml:space="preserve">Fatturato caratteristico.</t>
  </si>
  <si>
    <t xml:space="preserve">Bilancio 2024 - CE</t>
  </si>
  <si>
    <t xml:space="preserve">Variazione rimanenze prodotti</t>
  </si>
  <si>
    <t xml:space="preserve">Aumento dei prodotti finiti e in lavorazione (nel 2023 diminuzione).</t>
  </si>
  <si>
    <t xml:space="preserve">Altri ricavi e proventi</t>
  </si>
  <si>
    <t xml:space="preserve">Contributi e altri proventi.</t>
  </si>
  <si>
    <t xml:space="preserve">Valore della produzione</t>
  </si>
  <si>
    <t xml:space="preserve">Ricavi + variazioni rimanenze + altri ricavi.</t>
  </si>
  <si>
    <t xml:space="preserve">Principale voce di costo: consumi di materie prime e componenti, cioè acquisti al netto della variazione delle rimanenze di materie. Nel 2024 le rimanenze di materie aumentano di 86.220 euro: 272.640 di aumento delle rimanenze nello Stato Patrimoniale meno 186.420 di aumento dei prodotti nel Conto Economico.</t>
  </si>
  <si>
    <t xml:space="preserve">Servizi</t>
  </si>
  <si>
    <t xml:space="preserve">Lavorazioni esterne, energia, trasporti, manutenzioni, consulenze, provvigioni.</t>
  </si>
  <si>
    <t xml:space="preserve">Godimento beni di terzi</t>
  </si>
  <si>
    <t xml:space="preserve">Locazioni e altri utilizzi di beni di terzi.</t>
  </si>
  <si>
    <t xml:space="preserve">Personale</t>
  </si>
  <si>
    <t xml:space="preserve">Costo del personale: seconda voce di costo (produzione interna).</t>
  </si>
  <si>
    <t xml:space="preserve">Ammortamenti e svalutazioni</t>
  </si>
  <si>
    <t xml:space="preserve">Costi non monetari operativi.</t>
  </si>
  <si>
    <t xml:space="preserve">Oneri diversi di gestione</t>
  </si>
  <si>
    <t xml:space="preserve">Altri costi operativi.</t>
  </si>
  <si>
    <t xml:space="preserve">Totale costi della produzione</t>
  </si>
  <si>
    <t xml:space="preserve">Totale area B.</t>
  </si>
  <si>
    <t xml:space="preserve">Risultato operativo.</t>
  </si>
  <si>
    <t xml:space="preserve">Oneri finanziari netti (da sottrarre)</t>
  </si>
  <si>
    <t xml:space="preserve">Gestione finanziaria netta negativa in entrambi gli anni.</t>
  </si>
  <si>
    <t xml:space="preserve">Rettifiche di valore di attività finanziarie (svalutazioni, da sottrarre)</t>
  </si>
  <si>
    <t xml:space="preserve">Svalutazioni di partecipazioni.</t>
  </si>
  <si>
    <t xml:space="preserve">Risultato ante imposte</t>
  </si>
  <si>
    <t xml:space="preserve">EBIT meno oneri finanziari netti e rettifiche di valore.</t>
  </si>
  <si>
    <t xml:space="preserve">Imposte</t>
  </si>
  <si>
    <t xml:space="preserve">Imposte correnti/differite/anticipate.</t>
  </si>
  <si>
    <t xml:space="preserve">Utile netto</t>
  </si>
  <si>
    <t xml:space="preserve">Risultato finale.</t>
  </si>
  <si>
    <t xml:space="preserve">RENDICONTO FINANZIARIO - DALL'UTILE ALLA CASSA</t>
  </si>
  <si>
    <t xml:space="preserve">Segno</t>
  </si>
  <si>
    <t xml:space="preserve">Effetto sulla cassa</t>
  </si>
  <si>
    <t xml:space="preserve">% sul flusso operativo</t>
  </si>
  <si>
    <t xml:space="preserve">+</t>
  </si>
  <si>
    <t xml:space="preserve">Partenza</t>
  </si>
  <si>
    <t xml:space="preserve">Risultato economico di esercizio.</t>
  </si>
  <si>
    <t xml:space="preserve">Bilancio 2024 - Rendiconto finanziario</t>
  </si>
  <si>
    <t xml:space="preserve">Rettifiche non monetarie</t>
  </si>
  <si>
    <t xml:space="preserve">Aumenta il flusso operativo</t>
  </si>
  <si>
    <t xml:space="preserve">Ammortamenti, accantonamenti e altre rettifiche.</t>
  </si>
  <si>
    <t xml:space="preserve">+ rettifiche non monetarie</t>
  </si>
  <si>
    <t xml:space="preserve">Incremento rimanenze</t>
  </si>
  <si>
    <t xml:space="preserve">Assorbe cassa</t>
  </si>
  <si>
    <t xml:space="preserve">Magazzino in aumento assorbe liquidità.</t>
  </si>
  <si>
    <t xml:space="preserve">- incremento rimanenze</t>
  </si>
  <si>
    <t xml:space="preserve">Decremento crediti clienti</t>
  </si>
  <si>
    <t xml:space="preserve">Genera cassa</t>
  </si>
  <si>
    <t xml:space="preserve">Crediti in diminuzione liberano cassa.</t>
  </si>
  <si>
    <t xml:space="preserve">+ decremento crediti</t>
  </si>
  <si>
    <t xml:space="preserve">Incremento debiti fornitori</t>
  </si>
  <si>
    <t xml:space="preserve">Fornitori finanziano parte del circolante.</t>
  </si>
  <si>
    <t xml:space="preserve">+ incremento fornitori</t>
  </si>
  <si>
    <t xml:space="preserve">Altre variazioni del capitale circolante</t>
  </si>
  <si>
    <t xml:space="preserve">+/-</t>
  </si>
  <si>
    <t xml:space="preserve">Netto positivo</t>
  </si>
  <si>
    <t xml:space="preserve">Altre componenti del capitale circolante.</t>
  </si>
  <si>
    <t xml:space="preserve">+/- altre variazioni del capitale circolante</t>
  </si>
  <si>
    <t xml:space="preserve">Flusso operativo</t>
  </si>
  <si>
    <t xml:space="preserve">Cassa generata dalla gestione operativa.</t>
  </si>
  <si>
    <t xml:space="preserve">Flusso investimenti</t>
  </si>
  <si>
    <t xml:space="preserve">Investimenti netti, soprattutto in impianti e macchinari.</t>
  </si>
  <si>
    <t xml:space="preserve">- investimenti</t>
  </si>
  <si>
    <t xml:space="preserve">Flusso finanziamenti</t>
  </si>
  <si>
    <t xml:space="preserve">Rimborso debito &gt; nuovi finanziamenti.</t>
  </si>
  <si>
    <t xml:space="preserve">+/- flusso dei finanziamenti</t>
  </si>
  <si>
    <t xml:space="preserve">Incremento delle disponibilità liquide</t>
  </si>
  <si>
    <t xml:space="preserve">Variazione della liquidità</t>
  </si>
  <si>
    <t xml:space="preserve">Crescita della liquidità finale.</t>
  </si>
  <si>
    <t xml:space="preserve">Flusso operativo + flusso degli investimenti + flusso dei finanziamenti</t>
  </si>
  <si>
    <t xml:space="preserve">KPI E INDICI - CALCOLATI DAL BILANCIO</t>
  </si>
  <si>
    <t xml:space="preserve">Uso</t>
  </si>
  <si>
    <t xml:space="preserve">Crescita ricavi</t>
  </si>
  <si>
    <t xml:space="preserve">Ricavi 2024 / Ricavi 2023 - 1</t>
  </si>
  <si>
    <t xml:space="preserve">Crescita del fatturato.</t>
  </si>
  <si>
    <t xml:space="preserve">Trend commerciale</t>
  </si>
  <si>
    <t xml:space="preserve">Calcolo da CE</t>
  </si>
  <si>
    <t xml:space="preserve">ROS (EBIT margin)</t>
  </si>
  <si>
    <t xml:space="preserve">EBIT / Ricavi</t>
  </si>
  <si>
    <t xml:space="preserve">Margine operativo sui ricavi.</t>
  </si>
  <si>
    <t xml:space="preserve">Redditività operativa</t>
  </si>
  <si>
    <t xml:space="preserve">Utile netto / Ricavi</t>
  </si>
  <si>
    <t xml:space="preserve">Margine netto sui ricavi.</t>
  </si>
  <si>
    <t xml:space="preserve">Redditività finale</t>
  </si>
  <si>
    <t xml:space="preserve">Debiti banche / Patrimonio netto</t>
  </si>
  <si>
    <t xml:space="preserve">Leva finanziaria bancaria.</t>
  </si>
  <si>
    <t xml:space="preserve">Solidità</t>
  </si>
  <si>
    <t xml:space="preserve">Calcolo da SP</t>
  </si>
  <si>
    <t xml:space="preserve">Rimanenze / Ricavi</t>
  </si>
  <si>
    <t xml:space="preserve">Peso del magazzino sul fatturato.</t>
  </si>
  <si>
    <t xml:space="preserve">Capitale circolante</t>
  </si>
  <si>
    <t xml:space="preserve">Calcolo da SP e CE</t>
  </si>
  <si>
    <t xml:space="preserve">Crediti clienti / Ricavi</t>
  </si>
  <si>
    <t xml:space="preserve">Peso dei crediti commerciali.</t>
  </si>
  <si>
    <t xml:space="preserve">Liquidità / attivo</t>
  </si>
  <si>
    <t xml:space="preserve">Disponibilità liquide / totale attivo</t>
  </si>
  <si>
    <t xml:space="preserve">Peso delle disponibilità liquide.</t>
  </si>
  <si>
    <t xml:space="preserve">Patrimonio netto / Attivo</t>
  </si>
  <si>
    <t xml:space="preserve">Patrimonio netto / Totale attivo</t>
  </si>
  <si>
    <t xml:space="preserve">Autonomia patrimoniale sintetica.</t>
  </si>
  <si>
    <t xml:space="preserve">QUADRATURE DEL FOGLIO - TOTALI DEL BILANCIO E SOMMA DELLE VOCI MOSTRATE</t>
  </si>
  <si>
    <t xml:space="preserve">Esito</t>
  </si>
  <si>
    <t xml:space="preserve">Altre voci dell'attivo non dettagliate (per differenza)</t>
  </si>
  <si>
    <t xml:space="preserve">Totale attivo - somma delle voci mostrate</t>
  </si>
  <si>
    <t xml:space="preserve">Parte del totale attivo non compresa fra le principali voci del foglio.</t>
  </si>
  <si>
    <t xml:space="preserve">Calcolata per differenza: non è una voce del bilancio. Deve essere zero.</t>
  </si>
  <si>
    <t xml:space="preserve">Altre voci del passivo e netto non dettagliate (per differenza)</t>
  </si>
  <si>
    <t xml:space="preserve">Totale passivo e netto - somma delle voci mostrate</t>
  </si>
  <si>
    <t xml:space="preserve">Un valore negativo indica che le voci mostrate superano il totale.</t>
  </si>
  <si>
    <t xml:space="preserve">Altri costi della produzione non dettagliati (per differenza)</t>
  </si>
  <si>
    <t xml:space="preserve">Totale costi della produzione - somma delle voci mostrate</t>
  </si>
  <si>
    <t xml:space="preserve">Altre voci del flusso operativo non dettagliate (per differenza)</t>
  </si>
  <si>
    <t xml:space="preserve">Flusso operativo - somma delle righe da 48 a 53</t>
  </si>
  <si>
    <t xml:space="preserve">Il rendiconto del foglio riporta il solo 2024.</t>
  </si>
  <si>
    <t xml:space="preserve">Totale attivo - totale passivo e netto</t>
  </si>
  <si>
    <t xml:space="preserve">Deve essere zero.</t>
  </si>
  <si>
    <t xml:space="preserve">Risultato ante imposte ricalcolato</t>
  </si>
  <si>
    <t xml:space="preserve">Risultato ante imposte - (EBIT - oneri finanziari netti - rettifiche)</t>
  </si>
  <si>
    <t xml:space="preserve">Zero: le righe 39 e 40 si sottraggono dall'EBIT.</t>
  </si>
  <si>
    <t xml:space="preserve">Utile netto e patrimonio netto</t>
  </si>
  <si>
    <t xml:space="preserve">Utile netto - variazione del patrimonio netto</t>
  </si>
  <si>
    <t xml:space="preserve">Se diverso da zero, il patrimonio netto si è mosso anche per altre cause (per esempio dividendi): da spiegare.</t>
  </si>
  <si>
    <t xml:space="preserve">Calcolo da CE e SP</t>
  </si>
  <si>
    <t xml:space="preserve">Rendiconto: somma dei tre flussi</t>
  </si>
  <si>
    <t xml:space="preserve">Flusso operativo + investimenti + finanziamenti - incremento delle disponibilità liquide</t>
  </si>
  <si>
    <t xml:space="preserve">Calcolo da rendiconto</t>
  </si>
  <si>
    <t xml:space="preserve">Rendiconto e Stato Patrimoniale</t>
  </si>
  <si>
    <t xml:space="preserve">Incremento delle disponibilità liquide - variazione delle disponibilità liquide</t>
  </si>
  <si>
    <t xml:space="preserve">Calcolo da rendiconto e SP</t>
  </si>
  <si>
    <t xml:space="preserve">Controlli: il file ritrova i numeri del libro</t>
  </si>
  <si>
    <t xml:space="preserve">Ogni riga collega un calcolo dei fogli dei capitoli al numero stampato nel libro.</t>
  </si>
  <si>
    <t xml:space="preserve">Valore calcolato</t>
  </si>
  <si>
    <t xml:space="preserve">Riepilogo</t>
  </si>
  <si>
    <t xml:space="preserve">OK</t>
  </si>
  <si>
    <t xml:space="preserve">DIVERSO</t>
  </si>
</sst>
</file>

<file path=xl/styles.xml><?xml version="1.0" encoding="utf-8"?>
<styleSheet xmlns="http://schemas.openxmlformats.org/spreadsheetml/2006/main">
  <numFmts count="12">
    <numFmt numFmtId="164" formatCode="General"/>
    <numFmt numFmtId="165" formatCode="#,##0"/>
    <numFmt numFmtId="166" formatCode="#,##0.0"/>
    <numFmt numFmtId="167" formatCode="#,##0.00"/>
    <numFmt numFmtId="168" formatCode="0.0%"/>
    <numFmt numFmtId="169" formatCode="#,##0.0000"/>
    <numFmt numFmtId="170" formatCode="0.00%"/>
    <numFmt numFmtId="171" formatCode="&quot;€ &quot;#,##0;[RED]&quot;(€ &quot;#,##0\);\-"/>
    <numFmt numFmtId="172" formatCode="General"/>
    <numFmt numFmtId="173" formatCode="#,##0;[RED]\(#,##0\);\-"/>
    <numFmt numFmtId="174" formatCode="0.0%;[RED]\(0.0%\);\-"/>
    <numFmt numFmtId="175" formatCode="#,##0.00&quot; euro&quot;"/>
  </numFmts>
  <fonts count="34">
    <font>
      <sz val="10"/>
      <name val="Arial"/>
      <family val="2"/>
      <charset val="1"/>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i val="true"/>
      <sz val="11"/>
      <color rgb="FF4A5668"/>
      <name val="Calibri"/>
      <family val="0"/>
      <charset val="1"/>
    </font>
    <font>
      <sz val="10"/>
      <color rgb="FF4A5668"/>
      <name val="Calibri"/>
      <family val="0"/>
      <charset val="1"/>
    </font>
    <font>
      <b val="true"/>
      <sz val="10"/>
      <color rgb="FFFFFFFF"/>
      <name val="Calibri"/>
      <family val="0"/>
      <charset val="1"/>
    </font>
    <font>
      <u val="single"/>
      <sz val="10"/>
      <color rgb="FFB8470B"/>
      <name val="Calibri"/>
      <family val="0"/>
      <charset val="1"/>
    </font>
    <font>
      <sz val="10"/>
      <name val="Calibri"/>
      <family val="0"/>
      <charset val="1"/>
    </font>
    <font>
      <b val="true"/>
      <sz val="11"/>
      <color rgb="FFFFFFFF"/>
      <name val="Calibri"/>
      <family val="0"/>
      <charset val="1"/>
    </font>
    <font>
      <b val="true"/>
      <sz val="16"/>
      <color rgb="FFFFFFFF"/>
      <name val="Calibri"/>
      <family val="0"/>
      <charset val="1"/>
    </font>
    <font>
      <i val="true"/>
      <sz val="10"/>
      <color rgb="FF4A5668"/>
      <name val="Calibri"/>
      <family val="0"/>
      <charset val="1"/>
    </font>
    <font>
      <sz val="9"/>
      <color rgb="FF4A5668"/>
      <name val="Calibri"/>
      <family val="0"/>
      <charset val="1"/>
    </font>
    <font>
      <b val="true"/>
      <sz val="12"/>
      <color rgb="FFFFFFFF"/>
      <name val="Calibri"/>
      <family val="0"/>
      <charset val="1"/>
    </font>
    <font>
      <b val="true"/>
      <sz val="10"/>
      <color rgb="FF0000FF"/>
      <name val="Calibri"/>
      <family val="0"/>
      <charset val="1"/>
    </font>
    <font>
      <sz val="9"/>
      <color rgb="FF6B7686"/>
      <name val="Calibri"/>
      <family val="0"/>
      <charset val="1"/>
    </font>
    <font>
      <sz val="10"/>
      <color rgb="FF000000"/>
      <name val="Calibri"/>
      <family val="0"/>
      <charset val="1"/>
    </font>
    <font>
      <sz val="10"/>
      <color rgb="FF1D7A4B"/>
      <name val="Calibri"/>
      <family val="0"/>
      <charset val="1"/>
    </font>
    <font>
      <b val="true"/>
      <sz val="10"/>
      <name val="Calibri"/>
      <family val="0"/>
      <charset val="1"/>
    </font>
    <font>
      <i val="true"/>
      <sz val="10"/>
      <name val="Calibri"/>
      <family val="0"/>
      <charset val="1"/>
    </font>
    <font>
      <b val="true"/>
      <sz val="17"/>
      <color rgb="FFFFFFFF"/>
      <name val="Calibri"/>
      <family val="0"/>
      <charset val="1"/>
    </font>
    <font>
      <sz val="9"/>
      <color rgb="FF1B2533"/>
      <name val="Calibri"/>
      <family val="0"/>
      <charset val="1"/>
    </font>
    <font>
      <b val="true"/>
      <sz val="9"/>
      <color rgb="FF0000FF"/>
      <name val="Calibri"/>
      <family val="0"/>
      <charset val="1"/>
    </font>
    <font>
      <sz val="11"/>
      <color rgb="FF000000"/>
      <name val="Calibri"/>
      <family val="0"/>
      <charset val="1"/>
    </font>
    <font>
      <sz val="9"/>
      <color rgb="FF000000"/>
      <name val="Calibri"/>
      <family val="0"/>
      <charset val="1"/>
    </font>
    <font>
      <b val="true"/>
      <sz val="9"/>
      <color rgb="FF000000"/>
      <name val="Calibri"/>
      <family val="0"/>
      <charset val="1"/>
    </font>
    <font>
      <b val="true"/>
      <sz val="11"/>
      <color rgb="FFE35B14"/>
      <name val="Calibri"/>
      <family val="0"/>
      <charset val="1"/>
    </font>
    <font>
      <b val="true"/>
      <sz val="9"/>
      <color rgb="FF1F3A5F"/>
      <name val="Calibri"/>
      <family val="0"/>
      <charset val="1"/>
    </font>
    <font>
      <i val="true"/>
      <sz val="9"/>
      <color rgb="FF4A5668"/>
      <name val="Calibri"/>
      <family val="0"/>
      <charset val="1"/>
    </font>
    <font>
      <sz val="9"/>
      <color rgb="FF0000FF"/>
      <name val="Calibri"/>
      <family val="0"/>
      <charset val="1"/>
    </font>
    <font>
      <sz val="9"/>
      <color rgb="FF008000"/>
      <name val="Calibri"/>
      <family val="0"/>
      <charset val="1"/>
    </font>
    <font>
      <b val="true"/>
      <sz val="12"/>
      <name val="Calibri"/>
      <family val="0"/>
      <charset val="1"/>
    </font>
  </fonts>
  <fills count="8">
    <fill>
      <patternFill patternType="none"/>
    </fill>
    <fill>
      <patternFill patternType="gray125"/>
    </fill>
    <fill>
      <patternFill patternType="solid">
        <fgColor rgb="FF1F3A5F"/>
        <bgColor rgb="FF1B2533"/>
      </patternFill>
    </fill>
    <fill>
      <patternFill patternType="solid">
        <fgColor rgb="FFE35B14"/>
        <bgColor rgb="FFB8470B"/>
      </patternFill>
    </fill>
    <fill>
      <patternFill patternType="solid">
        <fgColor rgb="FFFFF4A8"/>
        <bgColor rgb="FFFFEEE3"/>
      </patternFill>
    </fill>
    <fill>
      <patternFill patternType="solid">
        <fgColor rgb="FFFFEEE3"/>
        <bgColor rgb="FFF3F5F8"/>
      </patternFill>
    </fill>
    <fill>
      <patternFill patternType="solid">
        <fgColor rgb="FFF3F5F8"/>
        <bgColor rgb="FFEAF0F7"/>
      </patternFill>
    </fill>
    <fill>
      <patternFill patternType="solid">
        <fgColor rgb="FFEAF0F7"/>
        <bgColor rgb="FFF3F5F8"/>
      </patternFill>
    </fill>
  </fills>
  <borders count="2">
    <border diagonalUp="false" diagonalDown="false">
      <left/>
      <right/>
      <top/>
      <bottom/>
      <diagonal/>
    </border>
    <border diagonalUp="false" diagonalDown="false">
      <left/>
      <right/>
      <top/>
      <bottom style="thin">
        <color rgb="FFDCE2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6" fillId="4"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6" fontId="16" fillId="4" borderId="1" xfId="0" applyFont="true" applyBorder="true" applyAlignment="tru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7" fontId="18" fillId="0" borderId="1" xfId="0" applyFont="true" applyBorder="true" applyAlignment="true" applyProtection="false">
      <alignment horizontal="general" vertical="bottom" textRotation="0" wrapText="false" indent="0" shrinkToFit="false"/>
      <protection locked="true" hidden="false"/>
    </xf>
    <xf numFmtId="167" fontId="19" fillId="0" borderId="1" xfId="0" applyFont="true" applyBorder="true" applyAlignment="true" applyProtection="false">
      <alignment horizontal="general" vertical="bottom" textRotation="0" wrapText="false" indent="0" shrinkToFit="false"/>
      <protection locked="true" hidden="false"/>
    </xf>
    <xf numFmtId="168" fontId="16" fillId="4" borderId="1" xfId="0" applyFont="true" applyBorder="true" applyAlignment="true" applyProtection="false">
      <alignment horizontal="general" vertical="bottom" textRotation="0" wrapText="false" indent="0" shrinkToFit="false"/>
      <protection locked="true" hidden="false"/>
    </xf>
    <xf numFmtId="168" fontId="18" fillId="0" borderId="1" xfId="0" applyFont="true" applyBorder="true" applyAlignment="true" applyProtection="false">
      <alignment horizontal="general" vertical="bottom" textRotation="0" wrapText="false" indent="0" shrinkToFit="false"/>
      <protection locked="true" hidden="false"/>
    </xf>
    <xf numFmtId="168" fontId="19" fillId="0"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9" fontId="18" fillId="0" borderId="1" xfId="0" applyFont="true" applyBorder="true" applyAlignment="true" applyProtection="false">
      <alignment horizontal="general" vertical="bottom" textRotation="0" wrapText="false" indent="0" shrinkToFit="false"/>
      <protection locked="true" hidden="false"/>
    </xf>
    <xf numFmtId="169" fontId="19" fillId="0" borderId="1" xfId="0" applyFont="true" applyBorder="true" applyAlignment="true" applyProtection="false">
      <alignment horizontal="general" vertical="bottom" textRotation="0" wrapText="false" indent="0" shrinkToFit="false"/>
      <protection locked="true" hidden="false"/>
    </xf>
    <xf numFmtId="166" fontId="18" fillId="0" borderId="1" xfId="0" applyFont="true" applyBorder="true" applyAlignment="tru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general" vertical="bottom" textRotation="0" wrapText="false" indent="0" shrinkToFit="false"/>
      <protection locked="true" hidden="false"/>
    </xf>
    <xf numFmtId="170" fontId="18" fillId="0" borderId="1" xfId="0" applyFont="true" applyBorder="true" applyAlignment="true" applyProtection="false">
      <alignment horizontal="general" vertical="bottom" textRotation="0" wrapText="false" indent="0" shrinkToFit="false"/>
      <protection locked="true" hidden="false"/>
    </xf>
    <xf numFmtId="170" fontId="1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6" fillId="4" borderId="1" xfId="0" applyFont="true" applyBorder="true" applyAlignment="true" applyProtection="false">
      <alignment horizontal="general" vertical="bottom" textRotation="0" wrapText="fals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4"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true" applyAlignment="true" applyProtection="false">
      <alignment horizontal="general" vertical="center" textRotation="0" wrapText="false" indent="0" shrinkToFit="false"/>
      <protection locked="true" hidden="false"/>
    </xf>
    <xf numFmtId="171" fontId="25" fillId="0" borderId="0" xfId="0" applyFont="true" applyBorder="false" applyAlignment="tru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general" vertical="top" textRotation="0" wrapText="true" indent="0" shrinkToFit="false"/>
      <protection locked="true" hidden="false"/>
    </xf>
    <xf numFmtId="171" fontId="24" fillId="4" borderId="0" xfId="0" applyFont="true" applyBorder="false" applyAlignment="true" applyProtection="false">
      <alignment horizontal="general" vertical="top" textRotation="0" wrapText="true" indent="0" shrinkToFit="false"/>
      <protection locked="true" hidden="false"/>
    </xf>
    <xf numFmtId="173" fontId="24" fillId="4" borderId="0" xfId="0" applyFont="true" applyBorder="false" applyAlignment="true" applyProtection="false">
      <alignment horizontal="general" vertical="top" textRotation="0" wrapText="true" indent="0" shrinkToFit="false"/>
      <protection locked="true" hidden="false"/>
    </xf>
    <xf numFmtId="174" fontId="25" fillId="0" borderId="0" xfId="0" applyFont="true" applyBorder="false" applyAlignment="true" applyProtection="false">
      <alignment horizontal="general" vertical="bottom" textRotation="0" wrapText="false" indent="0" shrinkToFit="false"/>
      <protection locked="true" hidden="false"/>
    </xf>
    <xf numFmtId="173" fontId="25" fillId="0" borderId="0" xfId="0" applyFont="true" applyBorder="false" applyAlignment="tru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general" vertical="top" textRotation="0" wrapText="true" indent="0" shrinkToFit="false"/>
      <protection locked="true" hidden="false"/>
    </xf>
    <xf numFmtId="172" fontId="25" fillId="0" borderId="0" xfId="0" applyFont="true" applyBorder="false" applyAlignment="true" applyProtection="false">
      <alignment horizontal="general" vertical="bottom" textRotation="0" wrapText="false" indent="0" shrinkToFit="false"/>
      <protection locked="true" hidden="false"/>
    </xf>
    <xf numFmtId="174" fontId="26" fillId="0" borderId="0" xfId="0" applyFont="true" applyBorder="false" applyAlignment="true" applyProtection="false">
      <alignment horizontal="general" vertical="top" textRotation="0" wrapText="true" indent="0" shrinkToFit="false"/>
      <protection locked="true" hidden="false"/>
    </xf>
    <xf numFmtId="171" fontId="26" fillId="0" borderId="0" xfId="0" applyFont="true" applyBorder="false" applyAlignment="true" applyProtection="false">
      <alignment horizontal="general" vertical="top" textRotation="0" wrapText="true" indent="0" shrinkToFit="false"/>
      <protection locked="true" hidden="false"/>
    </xf>
    <xf numFmtId="171" fontId="27" fillId="4" borderId="0" xfId="0" applyFont="true" applyBorder="false" applyAlignment="true" applyProtection="false">
      <alignment horizontal="general" vertical="top" textRotation="0" wrapText="true" indent="0" shrinkToFit="false"/>
      <protection locked="true" hidden="false"/>
    </xf>
    <xf numFmtId="174" fontId="24" fillId="4" borderId="0" xfId="0" applyFont="true" applyBorder="false" applyAlignment="true" applyProtection="false">
      <alignment horizontal="general" vertical="top" textRotation="0" wrapText="true" indent="0" shrinkToFit="false"/>
      <protection locked="true" hidden="false"/>
    </xf>
    <xf numFmtId="175" fontId="25" fillId="0" borderId="0" xfId="0" applyFont="true" applyBorder="false" applyAlignment="true" applyProtection="false">
      <alignment horizontal="general" vertical="bottom" textRotation="0" wrapText="false" indent="0" shrinkToFit="false"/>
      <protection locked="true" hidden="false"/>
    </xf>
    <xf numFmtId="164" fontId="28" fillId="5" borderId="0" xfId="0" applyFont="true" applyBorder="true" applyAlignment="tru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30" fillId="6" borderId="0" xfId="0" applyFont="true" applyBorder="true" applyAlignment="true" applyProtection="false">
      <alignment horizontal="general" vertical="bottom" textRotation="0" wrapText="false" indent="0" shrinkToFit="false"/>
      <protection locked="true" hidden="false"/>
    </xf>
    <xf numFmtId="171" fontId="31" fillId="0" borderId="0" xfId="0" applyFont="true" applyBorder="false" applyAlignment="true" applyProtection="false">
      <alignment horizontal="general" vertical="top" textRotation="0" wrapText="true" indent="0" shrinkToFit="false"/>
      <protection locked="true" hidden="false"/>
    </xf>
    <xf numFmtId="174" fontId="23" fillId="0" borderId="0" xfId="0" applyFont="true" applyBorder="false" applyAlignment="true" applyProtection="false">
      <alignment horizontal="general" vertical="top" textRotation="0" wrapText="true" indent="0" shrinkToFit="false"/>
      <protection locked="true" hidden="false"/>
    </xf>
    <xf numFmtId="164" fontId="29" fillId="7" borderId="0" xfId="0" applyFont="true" applyBorder="false" applyAlignment="true" applyProtection="false">
      <alignment horizontal="general" vertical="top" textRotation="0" wrapText="true" indent="0" shrinkToFit="false"/>
      <protection locked="true" hidden="false"/>
    </xf>
    <xf numFmtId="171" fontId="29" fillId="7" borderId="0" xfId="0" applyFont="true" applyBorder="false" applyAlignment="true" applyProtection="false">
      <alignment horizontal="general" vertical="top" textRotation="0" wrapText="true" indent="0" shrinkToFit="false"/>
      <protection locked="true" hidden="false"/>
    </xf>
    <xf numFmtId="174" fontId="29" fillId="7" borderId="0" xfId="0" applyFont="true" applyBorder="false" applyAlignment="true" applyProtection="false">
      <alignment horizontal="general" vertical="top" textRotation="0" wrapText="true" indent="0" shrinkToFit="false"/>
      <protection locked="true" hidden="false"/>
    </xf>
    <xf numFmtId="174" fontId="32"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2" fontId="33"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7A4B"/>
      <rgbColor rgb="FFC0C0C0"/>
      <rgbColor rgb="FF6B7686"/>
      <rgbColor rgb="FF9999FF"/>
      <rgbColor rgb="FF993366"/>
      <rgbColor rgb="FFFFEEE3"/>
      <rgbColor rgb="FFEAF0F7"/>
      <rgbColor rgb="FF660066"/>
      <rgbColor rgb="FFFF8080"/>
      <rgbColor rgb="FF0066CC"/>
      <rgbColor rgb="FFDCE2EA"/>
      <rgbColor rgb="FF000080"/>
      <rgbColor rgb="FFFF00FF"/>
      <rgbColor rgb="FFFFFF00"/>
      <rgbColor rgb="FF00FFFF"/>
      <rgbColor rgb="FF800080"/>
      <rgbColor rgb="FF800000"/>
      <rgbColor rgb="FF008080"/>
      <rgbColor rgb="FF0000FF"/>
      <rgbColor rgb="FF00CCFF"/>
      <rgbColor rgb="FFF3F5F8"/>
      <rgbColor rgb="FFCCFFCC"/>
      <rgbColor rgb="FFFFF4A8"/>
      <rgbColor rgb="FF99CCFF"/>
      <rgbColor rgb="FFFF99CC"/>
      <rgbColor rgb="FFCC99FF"/>
      <rgbColor rgb="FFFFCC99"/>
      <rgbColor rgb="FF3366FF"/>
      <rgbColor rgb="FF33CCCC"/>
      <rgbColor rgb="FF99CC00"/>
      <rgbColor rgb="FFFFCC00"/>
      <rgbColor rgb="FFFF9900"/>
      <rgbColor rgb="FFE35B14"/>
      <rgbColor rgb="FF4A5668"/>
      <rgbColor rgb="FF969696"/>
      <rgbColor rgb="FF1F3A5F"/>
      <rgbColor rgb="FF339966"/>
      <rgbColor rgb="FF003300"/>
      <rgbColor rgb="FF333300"/>
      <rgbColor rgb="FFB8470B"/>
      <rgbColor rgb="FF993366"/>
      <rgbColor rgb="FF333399"/>
      <rgbColor rgb="FF1B25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66"/>
    <col collapsed="false" customWidth="true" hidden="false" outlineLevel="0" max="3" min="3" style="1" width="22"/>
  </cols>
  <sheetData>
    <row r="1" customFormat="false" ht="33.75" hidden="false" customHeight="true" outlineLevel="0" collapsed="false">
      <c r="A1" s="2" t="s">
        <v>0</v>
      </c>
      <c r="B1" s="2"/>
      <c r="C1" s="2"/>
    </row>
    <row r="2" customFormat="false" ht="15" hidden="false" customHeight="true" outlineLevel="0" collapsed="false">
      <c r="A2" s="3" t="s">
        <v>1</v>
      </c>
    </row>
    <row r="3" customFormat="false" ht="15" hidden="false" customHeight="true" outlineLevel="0" collapsed="false">
      <c r="A3" s="4" t="s">
        <v>2</v>
      </c>
    </row>
    <row r="4" customFormat="false" ht="30" hidden="false" customHeight="true" outlineLevel="0" collapsed="false">
      <c r="A4" s="5" t="s">
        <v>3</v>
      </c>
      <c r="B4" s="5"/>
      <c r="C4" s="5"/>
    </row>
    <row r="5" customFormat="false" ht="30" hidden="false" customHeight="true" outlineLevel="0" collapsed="false">
      <c r="A5" s="5" t="s">
        <v>4</v>
      </c>
      <c r="B5" s="5"/>
      <c r="C5" s="5"/>
    </row>
    <row r="6" customFormat="false" ht="30" hidden="false" customHeight="true" outlineLevel="0" collapsed="false">
      <c r="A6" s="5" t="s">
        <v>5</v>
      </c>
      <c r="B6" s="5"/>
      <c r="C6" s="5"/>
    </row>
    <row r="7" customFormat="false" ht="30" hidden="false" customHeight="true" outlineLevel="0" collapsed="false">
      <c r="A7" s="5" t="s">
        <v>6</v>
      </c>
      <c r="B7" s="5"/>
      <c r="C7" s="5"/>
    </row>
    <row r="8" customFormat="false" ht="30" hidden="false" customHeight="true" outlineLevel="0" collapsed="false">
      <c r="A8" s="5" t="s">
        <v>7</v>
      </c>
      <c r="B8" s="5"/>
      <c r="C8" s="5"/>
    </row>
    <row r="10" customFormat="false" ht="15" hidden="false" customHeight="true" outlineLevel="0" collapsed="false">
      <c r="A10" s="6" t="s">
        <v>8</v>
      </c>
      <c r="B10" s="6" t="s">
        <v>9</v>
      </c>
      <c r="C10" s="6" t="s">
        <v>10</v>
      </c>
    </row>
    <row r="11" customFormat="false" ht="15" hidden="false" customHeight="true" outlineLevel="0" collapsed="false">
      <c r="A11" s="7" t="s">
        <v>11</v>
      </c>
      <c r="B11" s="8" t="s">
        <v>12</v>
      </c>
      <c r="C11" s="8" t="s">
        <v>13</v>
      </c>
    </row>
    <row r="12" customFormat="false" ht="15" hidden="false" customHeight="true" outlineLevel="0" collapsed="false">
      <c r="A12" s="9" t="s">
        <v>14</v>
      </c>
      <c r="B12" s="9"/>
      <c r="C12" s="9"/>
    </row>
    <row r="13" customFormat="false" ht="15" hidden="false" customHeight="true" outlineLevel="0" collapsed="false">
      <c r="A13" s="7" t="s">
        <v>15</v>
      </c>
      <c r="B13" s="8" t="s">
        <v>16</v>
      </c>
      <c r="C13" s="8" t="s">
        <v>17</v>
      </c>
    </row>
    <row r="14" customFormat="false" ht="15" hidden="false" customHeight="true" outlineLevel="0" collapsed="false">
      <c r="A14" s="7" t="s">
        <v>18</v>
      </c>
      <c r="B14" s="8" t="s">
        <v>19</v>
      </c>
      <c r="C14" s="8" t="s">
        <v>20</v>
      </c>
    </row>
    <row r="15" customFormat="false" ht="15" hidden="false" customHeight="true" outlineLevel="0" collapsed="false">
      <c r="A15" s="7" t="s">
        <v>21</v>
      </c>
      <c r="B15" s="8" t="s">
        <v>22</v>
      </c>
      <c r="C15" s="8" t="s">
        <v>23</v>
      </c>
    </row>
    <row r="16" customFormat="false" ht="15" hidden="false" customHeight="true" outlineLevel="0" collapsed="false">
      <c r="A16" s="7" t="s">
        <v>24</v>
      </c>
      <c r="B16" s="8" t="s">
        <v>25</v>
      </c>
      <c r="C16" s="8" t="s">
        <v>26</v>
      </c>
    </row>
    <row r="17" customFormat="false" ht="15" hidden="false" customHeight="true" outlineLevel="0" collapsed="false">
      <c r="A17" s="9" t="s">
        <v>27</v>
      </c>
      <c r="B17" s="9"/>
      <c r="C17" s="9"/>
    </row>
    <row r="18" customFormat="false" ht="15" hidden="false" customHeight="true" outlineLevel="0" collapsed="false">
      <c r="A18" s="7" t="s">
        <v>28</v>
      </c>
      <c r="B18" s="8" t="s">
        <v>29</v>
      </c>
      <c r="C18" s="8" t="s">
        <v>30</v>
      </c>
    </row>
    <row r="19" customFormat="false" ht="15" hidden="false" customHeight="true" outlineLevel="0" collapsed="false">
      <c r="A19" s="7" t="s">
        <v>31</v>
      </c>
      <c r="B19" s="8" t="s">
        <v>32</v>
      </c>
      <c r="C19" s="8" t="s">
        <v>33</v>
      </c>
    </row>
    <row r="20" customFormat="false" ht="15" hidden="false" customHeight="true" outlineLevel="0" collapsed="false">
      <c r="A20" s="7" t="s">
        <v>34</v>
      </c>
      <c r="B20" s="8" t="s">
        <v>35</v>
      </c>
      <c r="C20" s="8" t="s">
        <v>36</v>
      </c>
    </row>
    <row r="21" customFormat="false" ht="15" hidden="false" customHeight="true" outlineLevel="0" collapsed="false">
      <c r="A21" s="7" t="s">
        <v>37</v>
      </c>
      <c r="B21" s="8" t="s">
        <v>38</v>
      </c>
      <c r="C21" s="8" t="s">
        <v>39</v>
      </c>
    </row>
    <row r="22" customFormat="false" ht="15" hidden="false" customHeight="true" outlineLevel="0" collapsed="false">
      <c r="A22" s="7" t="s">
        <v>40</v>
      </c>
      <c r="B22" s="8" t="s">
        <v>41</v>
      </c>
      <c r="C22" s="8" t="s">
        <v>42</v>
      </c>
    </row>
    <row r="23" customFormat="false" ht="15" hidden="false" customHeight="true" outlineLevel="0" collapsed="false">
      <c r="A23" s="7" t="s">
        <v>43</v>
      </c>
      <c r="B23" s="8" t="s">
        <v>44</v>
      </c>
      <c r="C23" s="8" t="s">
        <v>45</v>
      </c>
    </row>
    <row r="24" customFormat="false" ht="15" hidden="false" customHeight="true" outlineLevel="0" collapsed="false">
      <c r="A24" s="7" t="s">
        <v>46</v>
      </c>
      <c r="B24" s="8" t="s">
        <v>47</v>
      </c>
      <c r="C24" s="8" t="s">
        <v>48</v>
      </c>
    </row>
    <row r="25" customFormat="false" ht="15" hidden="false" customHeight="true" outlineLevel="0" collapsed="false">
      <c r="A25" s="9" t="s">
        <v>49</v>
      </c>
      <c r="B25" s="9"/>
      <c r="C25" s="9"/>
    </row>
    <row r="26" customFormat="false" ht="15" hidden="false" customHeight="true" outlineLevel="0" collapsed="false">
      <c r="A26" s="7" t="s">
        <v>50</v>
      </c>
      <c r="B26" s="8" t="s">
        <v>51</v>
      </c>
      <c r="C26" s="8" t="s">
        <v>52</v>
      </c>
    </row>
    <row r="27" customFormat="false" ht="15" hidden="false" customHeight="true" outlineLevel="0" collapsed="false">
      <c r="A27" s="7" t="s">
        <v>53</v>
      </c>
      <c r="B27" s="8" t="s">
        <v>54</v>
      </c>
      <c r="C27" s="8" t="s">
        <v>55</v>
      </c>
    </row>
    <row r="28" customFormat="false" ht="15" hidden="false" customHeight="true" outlineLevel="0" collapsed="false">
      <c r="A28" s="7" t="s">
        <v>56</v>
      </c>
      <c r="B28" s="8" t="s">
        <v>57</v>
      </c>
      <c r="C28" s="8" t="s">
        <v>58</v>
      </c>
    </row>
    <row r="29" customFormat="false" ht="15" hidden="false" customHeight="true" outlineLevel="0" collapsed="false">
      <c r="A29" s="9" t="s">
        <v>59</v>
      </c>
      <c r="B29" s="9"/>
      <c r="C29" s="9"/>
    </row>
    <row r="30" customFormat="false" ht="15" hidden="false" customHeight="true" outlineLevel="0" collapsed="false">
      <c r="A30" s="7" t="s">
        <v>60</v>
      </c>
      <c r="B30" s="8" t="s">
        <v>61</v>
      </c>
      <c r="C30" s="8" t="s">
        <v>62</v>
      </c>
    </row>
    <row r="31" customFormat="false" ht="15" hidden="false" customHeight="true" outlineLevel="0" collapsed="false">
      <c r="A31" s="7" t="s">
        <v>63</v>
      </c>
      <c r="B31" s="8" t="s">
        <v>64</v>
      </c>
      <c r="C31" s="8" t="s">
        <v>65</v>
      </c>
    </row>
    <row r="32" customFormat="false" ht="15" hidden="false" customHeight="true" outlineLevel="0" collapsed="false">
      <c r="A32" s="7" t="s">
        <v>66</v>
      </c>
      <c r="B32" s="8" t="s">
        <v>67</v>
      </c>
      <c r="C32" s="8" t="s">
        <v>68</v>
      </c>
    </row>
    <row r="33" customFormat="false" ht="15" hidden="false" customHeight="true" outlineLevel="0" collapsed="false">
      <c r="A33" s="7" t="s">
        <v>69</v>
      </c>
      <c r="B33" s="8" t="s">
        <v>70</v>
      </c>
      <c r="C33" s="8" t="s">
        <v>71</v>
      </c>
    </row>
    <row r="34" customFormat="false" ht="15" hidden="false" customHeight="true" outlineLevel="0" collapsed="false">
      <c r="A34" s="9" t="s">
        <v>72</v>
      </c>
      <c r="B34" s="9"/>
      <c r="C34" s="9"/>
    </row>
    <row r="35" customFormat="false" ht="15" hidden="false" customHeight="true" outlineLevel="0" collapsed="false">
      <c r="A35" s="7" t="s">
        <v>73</v>
      </c>
      <c r="B35" s="8" t="s">
        <v>74</v>
      </c>
      <c r="C35" s="8" t="s">
        <v>75</v>
      </c>
    </row>
    <row r="36" customFormat="false" ht="15" hidden="false" customHeight="true" outlineLevel="0" collapsed="false">
      <c r="A36" s="7" t="s">
        <v>76</v>
      </c>
      <c r="B36" s="8" t="s">
        <v>77</v>
      </c>
      <c r="C36" s="8" t="s">
        <v>78</v>
      </c>
    </row>
    <row r="37" customFormat="false" ht="15" hidden="false" customHeight="true" outlineLevel="0" collapsed="false">
      <c r="A37" s="9" t="s">
        <v>79</v>
      </c>
      <c r="B37" s="9"/>
      <c r="C37" s="9"/>
    </row>
    <row r="38" customFormat="false" ht="15" hidden="false" customHeight="true" outlineLevel="0" collapsed="false">
      <c r="A38" s="7" t="s">
        <v>80</v>
      </c>
      <c r="B38" s="8" t="s">
        <v>81</v>
      </c>
      <c r="C38" s="8" t="s">
        <v>82</v>
      </c>
    </row>
    <row r="39" customFormat="false" ht="15" hidden="false" customHeight="true" outlineLevel="0" collapsed="false">
      <c r="A39" s="7" t="s">
        <v>83</v>
      </c>
      <c r="B39" s="8" t="s">
        <v>84</v>
      </c>
      <c r="C39" s="8" t="s">
        <v>85</v>
      </c>
    </row>
    <row r="40" customFormat="false" ht="15" hidden="false" customHeight="true" outlineLevel="0" collapsed="false">
      <c r="A40" s="7" t="s">
        <v>86</v>
      </c>
      <c r="B40" s="8" t="s">
        <v>87</v>
      </c>
      <c r="C40" s="8" t="s">
        <v>88</v>
      </c>
    </row>
    <row r="41" customFormat="false" ht="15" hidden="false" customHeight="true" outlineLevel="0" collapsed="false">
      <c r="A41" s="7" t="s">
        <v>89</v>
      </c>
      <c r="B41" s="8" t="s">
        <v>90</v>
      </c>
      <c r="C41" s="8" t="s">
        <v>91</v>
      </c>
    </row>
    <row r="42" customFormat="false" ht="15" hidden="false" customHeight="true" outlineLevel="0" collapsed="false">
      <c r="A42" s="7" t="s">
        <v>92</v>
      </c>
      <c r="B42" s="8" t="s">
        <v>93</v>
      </c>
      <c r="C42" s="8" t="s">
        <v>94</v>
      </c>
    </row>
    <row r="43" customFormat="false" ht="15" hidden="false" customHeight="true" outlineLevel="0" collapsed="false">
      <c r="A43" s="7" t="s">
        <v>95</v>
      </c>
      <c r="B43" s="8" t="s">
        <v>96</v>
      </c>
      <c r="C43" s="8" t="s">
        <v>75</v>
      </c>
    </row>
    <row r="44" customFormat="false" ht="15" hidden="false" customHeight="true" outlineLevel="0" collapsed="false">
      <c r="A44" s="7" t="s">
        <v>97</v>
      </c>
      <c r="B44" s="8" t="s">
        <v>98</v>
      </c>
      <c r="C44" s="8" t="s">
        <v>99</v>
      </c>
    </row>
    <row r="45" customFormat="false" ht="15" hidden="false" customHeight="true" outlineLevel="0" collapsed="false">
      <c r="A45" s="7" t="s">
        <v>100</v>
      </c>
      <c r="B45" s="8" t="s">
        <v>101</v>
      </c>
      <c r="C45" s="8" t="s">
        <v>102</v>
      </c>
    </row>
    <row r="46" customFormat="false" ht="15" hidden="false" customHeight="true" outlineLevel="0" collapsed="false">
      <c r="A46" s="7" t="s">
        <v>103</v>
      </c>
      <c r="B46" s="8" t="s">
        <v>104</v>
      </c>
      <c r="C46" s="8" t="s">
        <v>13</v>
      </c>
    </row>
    <row r="47" customFormat="false" ht="15" hidden="false" customHeight="true" outlineLevel="0" collapsed="false">
      <c r="A47" s="7" t="s">
        <v>105</v>
      </c>
      <c r="B47" s="8" t="s">
        <v>106</v>
      </c>
      <c r="C47" s="8" t="s">
        <v>13</v>
      </c>
    </row>
    <row r="48" customFormat="false" ht="15" hidden="false" customHeight="true" outlineLevel="0" collapsed="false">
      <c r="A48" s="7" t="s">
        <v>107</v>
      </c>
      <c r="B48" s="8" t="s">
        <v>108</v>
      </c>
      <c r="C48" s="8" t="s">
        <v>99</v>
      </c>
    </row>
    <row r="49" customFormat="false" ht="15" hidden="false" customHeight="true" outlineLevel="0" collapsed="false">
      <c r="A49" s="7" t="s">
        <v>109</v>
      </c>
      <c r="B49" s="8" t="s">
        <v>110</v>
      </c>
      <c r="C49" s="8" t="s">
        <v>13</v>
      </c>
    </row>
  </sheetData>
  <mergeCells count="12">
    <mergeCell ref="A1:C1"/>
    <mergeCell ref="A4:C4"/>
    <mergeCell ref="A5:C5"/>
    <mergeCell ref="A6:C6"/>
    <mergeCell ref="A7:C7"/>
    <mergeCell ref="A8:C8"/>
    <mergeCell ref="A12:C12"/>
    <mergeCell ref="A17:C17"/>
    <mergeCell ref="A25:C25"/>
    <mergeCell ref="A29:C29"/>
    <mergeCell ref="A34:C34"/>
    <mergeCell ref="A37:C37"/>
  </mergeCells>
  <hyperlinks>
    <hyperlink ref="A11" location="'Impresa_guida'!A1" display="Impresa_guida"/>
    <hyperlink ref="A13" location="'Cap_01'!A1" display="Cap_01"/>
    <hyperlink ref="A14" location="'Cap_02'!A1" display="Cap_02"/>
    <hyperlink ref="A15" location="'Cap_03'!A1" display="Cap_03"/>
    <hyperlink ref="A16" location="'Cap_04'!A1" display="Cap_04"/>
    <hyperlink ref="A18" location="'Cap_05'!A1" display="Cap_05"/>
    <hyperlink ref="A19" location="'Cap_06'!A1" display="Cap_06"/>
    <hyperlink ref="A20" location="'Cap_07'!A1" display="Cap_07"/>
    <hyperlink ref="A21" location="'Cap_08'!A1" display="Cap_08"/>
    <hyperlink ref="A22" location="'Cap_09'!A1" display="Cap_09"/>
    <hyperlink ref="A23" location="'Cap_10'!A1" display="Cap_10"/>
    <hyperlink ref="A24" location="'Cap_11'!A1" display="Cap_11"/>
    <hyperlink ref="A26" location="'Cap_12'!A1" display="Cap_12"/>
    <hyperlink ref="A27" location="'Cap_13'!A1" display="Cap_13"/>
    <hyperlink ref="A28" location="'Cap_14'!A1" display="Cap_14"/>
    <hyperlink ref="A30" location="'Cap_15'!A1" display="Cap_15"/>
    <hyperlink ref="A31" location="'Cap_16'!A1" display="Cap_16"/>
    <hyperlink ref="A32" location="'Cap_17'!A1" display="Cap_17"/>
    <hyperlink ref="A33" location="'Cap_18'!A1" display="Cap_18"/>
    <hyperlink ref="A35" location="'Cap_19'!A1" display="Cap_19"/>
    <hyperlink ref="A36" location="'Cap_20'!A1" display="Cap_20"/>
    <hyperlink ref="A38" location="'Esercizi_Costi'!A1" display="Esercizi_Costi"/>
    <hyperlink ref="A39" location="'Esercizi_Analitica'!A1" display="Esercizi_Analitica"/>
    <hyperlink ref="A40" location="'Esercizi_Costing'!A1" display="Esercizi_Costing"/>
    <hyperlink ref="A41" location="'Esercizi_Pianificazione'!A1" display="Esercizi_Pianificazione"/>
    <hyperlink ref="A42" location="'Esercizi_Decisioni'!A1" display="Esercizi_Decisioni"/>
    <hyperlink ref="A43" location="'Esercizi_IA'!A1" display="Esercizi_IA"/>
    <hyperlink ref="A44" location="'Esercizi_Bilancio'!A1" display="Esercizi_Bilancio"/>
    <hyperlink ref="A45" location="'Soluzioni_Esercizi'!A1" display="Soluzioni_Esercizi"/>
    <hyperlink ref="A46" location="'Formule'!A1" display="Formule"/>
    <hyperlink ref="A47" location="'Glossario'!A1" display="Glossario"/>
    <hyperlink ref="A48" location="'Bilancio_Alfa_2024'!A1" display="Bilancio_Alfa_2024"/>
    <hyperlink ref="A49" location="'Controlli'!A1" display="Controll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111</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114</v>
      </c>
      <c r="B4" s="5"/>
      <c r="C4" s="5"/>
      <c r="D4" s="5"/>
      <c r="E4" s="5"/>
      <c r="F4" s="5"/>
    </row>
    <row r="5" customFormat="false" ht="15" hidden="false" customHeight="true" outlineLevel="0" collapsed="false"/>
    <row r="6" customFormat="false" ht="15" hidden="false" customHeight="true" outlineLevel="0" collapsed="false">
      <c r="A6" s="13" t="s">
        <v>115</v>
      </c>
      <c r="B6" s="13"/>
      <c r="C6" s="13"/>
      <c r="D6" s="13"/>
      <c r="E6" s="13"/>
      <c r="F6" s="13"/>
    </row>
    <row r="7" customFormat="false" ht="15" hidden="false" customHeight="true" outlineLevel="0" collapsed="false">
      <c r="A7" s="6" t="s">
        <v>116</v>
      </c>
      <c r="B7" s="6" t="s">
        <v>117</v>
      </c>
      <c r="C7" s="6" t="s">
        <v>118</v>
      </c>
      <c r="D7" s="6" t="s">
        <v>119</v>
      </c>
      <c r="E7" s="6" t="s">
        <v>120</v>
      </c>
      <c r="F7" s="6" t="s">
        <v>121</v>
      </c>
    </row>
    <row r="8" customFormat="false" ht="15" hidden="false" customHeight="true" outlineLevel="0" collapsed="false">
      <c r="A8" s="14" t="s">
        <v>122</v>
      </c>
      <c r="B8" s="15" t="n">
        <v>8000</v>
      </c>
      <c r="C8" s="16" t="s">
        <v>123</v>
      </c>
      <c r="D8" s="17"/>
      <c r="E8" s="17"/>
      <c r="F8" s="16" t="s">
        <v>124</v>
      </c>
    </row>
    <row r="9" customFormat="false" ht="15" hidden="false" customHeight="true" outlineLevel="0" collapsed="false">
      <c r="A9" s="14" t="s">
        <v>125</v>
      </c>
      <c r="B9" s="15" t="n">
        <v>180</v>
      </c>
      <c r="C9" s="16" t="s">
        <v>126</v>
      </c>
      <c r="D9" s="17"/>
      <c r="E9" s="17"/>
      <c r="F9" s="16" t="s">
        <v>124</v>
      </c>
    </row>
    <row r="10" customFormat="false" ht="15" hidden="false" customHeight="true" outlineLevel="0" collapsed="false">
      <c r="A10" s="14" t="s">
        <v>127</v>
      </c>
      <c r="B10" s="15" t="n">
        <v>117</v>
      </c>
      <c r="C10" s="16" t="s">
        <v>126</v>
      </c>
      <c r="D10" s="17"/>
      <c r="E10" s="17"/>
      <c r="F10" s="16" t="s">
        <v>124</v>
      </c>
    </row>
    <row r="11" customFormat="false" ht="15" hidden="false" customHeight="true" outlineLevel="0" collapsed="false">
      <c r="A11" s="14" t="s">
        <v>128</v>
      </c>
      <c r="B11" s="18" t="n">
        <v>1.5</v>
      </c>
      <c r="C11" s="16" t="s">
        <v>129</v>
      </c>
      <c r="D11" s="17"/>
      <c r="E11" s="17"/>
      <c r="F11" s="16" t="s">
        <v>124</v>
      </c>
    </row>
    <row r="12" customFormat="false" ht="15" hidden="false" customHeight="true" outlineLevel="0" collapsed="false">
      <c r="A12" s="14" t="s">
        <v>130</v>
      </c>
      <c r="B12" s="15" t="n">
        <v>12000</v>
      </c>
      <c r="C12" s="16" t="s">
        <v>123</v>
      </c>
      <c r="D12" s="17"/>
      <c r="E12" s="17"/>
      <c r="F12" s="16" t="s">
        <v>124</v>
      </c>
    </row>
    <row r="13" customFormat="false" ht="15" hidden="false" customHeight="true" outlineLevel="0" collapsed="false">
      <c r="A13" s="14" t="s">
        <v>131</v>
      </c>
      <c r="B13" s="15" t="n">
        <v>114</v>
      </c>
      <c r="C13" s="16" t="s">
        <v>126</v>
      </c>
      <c r="D13" s="17"/>
      <c r="E13" s="17"/>
      <c r="F13" s="16" t="s">
        <v>124</v>
      </c>
    </row>
    <row r="14" customFormat="false" ht="15" hidden="false" customHeight="true" outlineLevel="0" collapsed="false">
      <c r="A14" s="14" t="s">
        <v>132</v>
      </c>
      <c r="B14" s="15" t="n">
        <v>76</v>
      </c>
      <c r="C14" s="16" t="s">
        <v>126</v>
      </c>
      <c r="D14" s="17"/>
      <c r="E14" s="17"/>
      <c r="F14" s="16" t="s">
        <v>124</v>
      </c>
    </row>
    <row r="15" customFormat="false" ht="15" hidden="false" customHeight="true" outlineLevel="0" collapsed="false">
      <c r="A15" s="14" t="s">
        <v>133</v>
      </c>
      <c r="B15" s="18" t="n">
        <v>0.5</v>
      </c>
      <c r="C15" s="16" t="s">
        <v>129</v>
      </c>
      <c r="D15" s="17"/>
      <c r="E15" s="17"/>
      <c r="F15" s="16" t="s">
        <v>124</v>
      </c>
    </row>
    <row r="16" customFormat="false" ht="15" hidden="false" customHeight="true" outlineLevel="0" collapsed="false">
      <c r="A16" s="14" t="s">
        <v>134</v>
      </c>
      <c r="B16" s="15" t="n">
        <v>2000</v>
      </c>
      <c r="C16" s="16" t="s">
        <v>123</v>
      </c>
      <c r="D16" s="17"/>
      <c r="E16" s="17"/>
      <c r="F16" s="16" t="s">
        <v>124</v>
      </c>
    </row>
    <row r="17" customFormat="false" ht="15" hidden="false" customHeight="true" outlineLevel="0" collapsed="false">
      <c r="A17" s="14" t="s">
        <v>135</v>
      </c>
      <c r="B17" s="15" t="n">
        <v>289</v>
      </c>
      <c r="C17" s="16" t="s">
        <v>126</v>
      </c>
      <c r="D17" s="17"/>
      <c r="E17" s="17"/>
      <c r="F17" s="16" t="s">
        <v>124</v>
      </c>
    </row>
    <row r="18" customFormat="false" ht="15" hidden="false" customHeight="true" outlineLevel="0" collapsed="false">
      <c r="A18" s="14" t="s">
        <v>136</v>
      </c>
      <c r="B18" s="15" t="n">
        <v>238</v>
      </c>
      <c r="C18" s="16" t="s">
        <v>126</v>
      </c>
      <c r="D18" s="17"/>
      <c r="E18" s="17"/>
      <c r="F18" s="16" t="s">
        <v>124</v>
      </c>
    </row>
    <row r="19" customFormat="false" ht="15" hidden="false" customHeight="true" outlineLevel="0" collapsed="false">
      <c r="A19" s="14" t="s">
        <v>137</v>
      </c>
      <c r="B19" s="15" t="n">
        <v>3</v>
      </c>
      <c r="C19" s="16" t="s">
        <v>129</v>
      </c>
      <c r="D19" s="17"/>
      <c r="E19" s="17"/>
      <c r="F19" s="16" t="s">
        <v>124</v>
      </c>
    </row>
    <row r="20" customFormat="false" ht="15" hidden="false" customHeight="true" outlineLevel="0" collapsed="false"/>
    <row r="21" customFormat="false" ht="15" hidden="false" customHeight="true" outlineLevel="0" collapsed="false">
      <c r="A21" s="13" t="s">
        <v>138</v>
      </c>
      <c r="B21" s="13"/>
      <c r="C21" s="13"/>
      <c r="D21" s="13"/>
      <c r="E21" s="13"/>
      <c r="F21" s="13"/>
    </row>
    <row r="22" customFormat="false" ht="15" hidden="false" customHeight="true" outlineLevel="0" collapsed="false">
      <c r="A22" s="6" t="s">
        <v>116</v>
      </c>
      <c r="B22" s="6" t="s">
        <v>117</v>
      </c>
      <c r="C22" s="6" t="s">
        <v>118</v>
      </c>
      <c r="D22" s="6" t="s">
        <v>119</v>
      </c>
      <c r="E22" s="6" t="s">
        <v>120</v>
      </c>
      <c r="F22" s="6" t="s">
        <v>121</v>
      </c>
    </row>
    <row r="23" customFormat="false" ht="15" hidden="false" customHeight="true" outlineLevel="0" collapsed="false">
      <c r="A23" s="14" t="s">
        <v>139</v>
      </c>
      <c r="B23" s="15" t="n">
        <v>570000</v>
      </c>
      <c r="C23" s="16" t="s">
        <v>140</v>
      </c>
      <c r="D23" s="17"/>
      <c r="E23" s="17"/>
      <c r="F23" s="16" t="s">
        <v>124</v>
      </c>
    </row>
    <row r="24" customFormat="false" ht="15" hidden="false" customHeight="true" outlineLevel="0" collapsed="false">
      <c r="A24" s="14" t="s">
        <v>141</v>
      </c>
      <c r="B24" s="15" t="n">
        <v>120000</v>
      </c>
      <c r="C24" s="16" t="s">
        <v>140</v>
      </c>
      <c r="D24" s="17"/>
      <c r="E24" s="17"/>
      <c r="F24" s="16" t="s">
        <v>124</v>
      </c>
    </row>
    <row r="25" customFormat="false" ht="15" hidden="false" customHeight="true" outlineLevel="0" collapsed="false">
      <c r="A25" s="14" t="s">
        <v>142</v>
      </c>
      <c r="B25" s="15" t="n">
        <v>46000</v>
      </c>
      <c r="C25" s="16" t="s">
        <v>140</v>
      </c>
      <c r="D25" s="17"/>
      <c r="E25" s="17"/>
      <c r="F25" s="16" t="s">
        <v>124</v>
      </c>
    </row>
    <row r="26" customFormat="false" ht="15" hidden="false" customHeight="true" outlineLevel="0" collapsed="false">
      <c r="A26" s="14" t="s">
        <v>143</v>
      </c>
      <c r="B26" s="15" t="n">
        <v>21000</v>
      </c>
      <c r="C26" s="16" t="s">
        <v>144</v>
      </c>
      <c r="D26" s="17"/>
      <c r="E26" s="17"/>
      <c r="F26" s="16" t="s">
        <v>124</v>
      </c>
    </row>
    <row r="27" customFormat="false" ht="15" hidden="false" customHeight="true" outlineLevel="0" collapsed="false">
      <c r="A27" s="14" t="s">
        <v>145</v>
      </c>
      <c r="B27" s="15" t="n">
        <v>28</v>
      </c>
      <c r="C27" s="16" t="s">
        <v>146</v>
      </c>
      <c r="D27" s="17"/>
      <c r="E27" s="17"/>
      <c r="F27" s="16" t="s">
        <v>124</v>
      </c>
    </row>
    <row r="28" customFormat="false" ht="15" hidden="false" customHeight="true" outlineLevel="0" collapsed="false"/>
    <row r="29" customFormat="false" ht="15" hidden="false" customHeight="true" outlineLevel="0" collapsed="false">
      <c r="A29" s="13" t="s">
        <v>147</v>
      </c>
      <c r="B29" s="13"/>
      <c r="C29" s="13"/>
      <c r="D29" s="13"/>
      <c r="E29" s="13"/>
      <c r="F29" s="13"/>
    </row>
    <row r="30" customFormat="false" ht="15" hidden="false" customHeight="true" outlineLevel="0" collapsed="false">
      <c r="A30" s="6" t="s">
        <v>116</v>
      </c>
      <c r="B30" s="6" t="s">
        <v>117</v>
      </c>
      <c r="C30" s="6" t="s">
        <v>118</v>
      </c>
      <c r="D30" s="6" t="s">
        <v>119</v>
      </c>
      <c r="E30" s="6" t="s">
        <v>120</v>
      </c>
      <c r="F30" s="6" t="s">
        <v>121</v>
      </c>
    </row>
    <row r="31" customFormat="false" ht="15" hidden="false" customHeight="true" outlineLevel="0" collapsed="false">
      <c r="A31" s="14" t="s">
        <v>148</v>
      </c>
      <c r="B31" s="19" t="n">
        <f aca="false">$B$8*$B$9</f>
        <v>1440000</v>
      </c>
      <c r="C31" s="16" t="s">
        <v>140</v>
      </c>
      <c r="D31" s="20" t="n">
        <v>1440000</v>
      </c>
      <c r="E31" s="21" t="str">
        <f aca="false">IF(ABS(B31-D31)&lt;=0.5,"OK","DIVERSO")</f>
        <v>OK</v>
      </c>
      <c r="F31" s="16" t="s">
        <v>149</v>
      </c>
    </row>
    <row r="32" customFormat="false" ht="15" hidden="false" customHeight="true" outlineLevel="0" collapsed="false">
      <c r="A32" s="14" t="s">
        <v>150</v>
      </c>
      <c r="B32" s="19" t="n">
        <f aca="false">$B$12*$B$13</f>
        <v>1368000</v>
      </c>
      <c r="C32" s="16" t="s">
        <v>140</v>
      </c>
      <c r="D32" s="20" t="n">
        <v>1368000</v>
      </c>
      <c r="E32" s="21" t="str">
        <f aca="false">IF(ABS(B32-D32)&lt;=0.5,"OK","DIVERSO")</f>
        <v>OK</v>
      </c>
      <c r="F32" s="16" t="s">
        <v>149</v>
      </c>
    </row>
    <row r="33" customFormat="false" ht="15" hidden="false" customHeight="true" outlineLevel="0" collapsed="false">
      <c r="A33" s="14" t="s">
        <v>151</v>
      </c>
      <c r="B33" s="19" t="n">
        <f aca="false">$B$16*$B$17</f>
        <v>578000</v>
      </c>
      <c r="C33" s="16" t="s">
        <v>140</v>
      </c>
      <c r="D33" s="20" t="n">
        <v>578000</v>
      </c>
      <c r="E33" s="21" t="str">
        <f aca="false">IF(ABS(B33-D33)&lt;=0.5,"OK","DIVERSO")</f>
        <v>OK</v>
      </c>
      <c r="F33" s="16" t="s">
        <v>149</v>
      </c>
    </row>
    <row r="34" customFormat="false" ht="15" hidden="false" customHeight="true" outlineLevel="0" collapsed="false">
      <c r="A34" s="14" t="s">
        <v>152</v>
      </c>
      <c r="B34" s="19" t="n">
        <f aca="false">$B$31+$B$32+$B$33</f>
        <v>3386000</v>
      </c>
      <c r="C34" s="16" t="s">
        <v>140</v>
      </c>
      <c r="D34" s="20" t="n">
        <v>3386000</v>
      </c>
      <c r="E34" s="21" t="str">
        <f aca="false">IF(ABS(B34-D34)&lt;=0.5,"OK","DIVERSO")</f>
        <v>OK</v>
      </c>
      <c r="F34" s="16" t="s">
        <v>149</v>
      </c>
    </row>
    <row r="35" customFormat="false" ht="15" hidden="false" customHeight="true" outlineLevel="0" collapsed="false">
      <c r="A35" s="14" t="s">
        <v>153</v>
      </c>
      <c r="B35" s="19" t="n">
        <f aca="false">$B$8*$B$10+$B$12*$B$14+$B$16*$B$18</f>
        <v>2324000</v>
      </c>
      <c r="C35" s="16" t="s">
        <v>140</v>
      </c>
      <c r="D35" s="20" t="n">
        <v>2324000</v>
      </c>
      <c r="E35" s="21" t="str">
        <f aca="false">IF(ABS(B35-D35)&lt;=0.5,"OK","DIVERSO")</f>
        <v>OK</v>
      </c>
      <c r="F35" s="16" t="s">
        <v>149</v>
      </c>
    </row>
    <row r="36" customFormat="false" ht="15" hidden="false" customHeight="true" outlineLevel="0" collapsed="false">
      <c r="A36" s="14" t="s">
        <v>154</v>
      </c>
      <c r="B36" s="19" t="n">
        <f aca="false">$B$34-$B$35</f>
        <v>1062000</v>
      </c>
      <c r="C36" s="16" t="s">
        <v>140</v>
      </c>
      <c r="D36" s="20" t="n">
        <v>1062000</v>
      </c>
      <c r="E36" s="21" t="str">
        <f aca="false">IF(ABS(B36-D36)&lt;=0.5,"OK","DIVERSO")</f>
        <v>OK</v>
      </c>
      <c r="F36" s="16" t="s">
        <v>149</v>
      </c>
    </row>
    <row r="37" customFormat="false" ht="15" hidden="false" customHeight="true" outlineLevel="0" collapsed="false">
      <c r="A37" s="14" t="s">
        <v>155</v>
      </c>
      <c r="B37" s="19" t="n">
        <f aca="false">$B$8*$B$11+$B$12*$B$15+$B$16*$B$19</f>
        <v>24000</v>
      </c>
      <c r="C37" s="16" t="s">
        <v>144</v>
      </c>
      <c r="D37" s="20" t="n">
        <v>24000</v>
      </c>
      <c r="E37" s="21" t="str">
        <f aca="false">IF(ABS(B37-D37)&lt;=0.5,"OK","DIVERSO")</f>
        <v>OK</v>
      </c>
      <c r="F37" s="16" t="s">
        <v>149</v>
      </c>
    </row>
    <row r="38" customFormat="false" ht="15" hidden="false" customHeight="true" outlineLevel="0" collapsed="false">
      <c r="A38" s="14" t="s">
        <v>156</v>
      </c>
      <c r="B38" s="19" t="n">
        <f aca="false">MAX($B$37-$B$26,0)</f>
        <v>3000</v>
      </c>
      <c r="C38" s="16" t="s">
        <v>144</v>
      </c>
      <c r="D38" s="20" t="n">
        <v>3000</v>
      </c>
      <c r="E38" s="21" t="str">
        <f aca="false">IF(ABS(B38-D38)&lt;=0.5,"OK","DIVERSO")</f>
        <v>OK</v>
      </c>
      <c r="F38" s="16" t="s">
        <v>149</v>
      </c>
    </row>
    <row r="39" customFormat="false" ht="15" hidden="false" customHeight="true" outlineLevel="0" collapsed="false">
      <c r="A39" s="14" t="s">
        <v>157</v>
      </c>
      <c r="B39" s="19" t="n">
        <f aca="false">$B$38*$B$27</f>
        <v>84000</v>
      </c>
      <c r="C39" s="16" t="s">
        <v>140</v>
      </c>
      <c r="D39" s="20" t="n">
        <v>84000</v>
      </c>
      <c r="E39" s="21" t="str">
        <f aca="false">IF(ABS(B39-D39)&lt;=0.5,"OK","DIVERSO")</f>
        <v>OK</v>
      </c>
      <c r="F39" s="16" t="s">
        <v>149</v>
      </c>
    </row>
    <row r="40" customFormat="false" ht="15" hidden="false" customHeight="true" outlineLevel="0" collapsed="false">
      <c r="A40" s="14" t="s">
        <v>158</v>
      </c>
      <c r="B40" s="19" t="n">
        <f aca="false">$B$23+$B$24+$B$25</f>
        <v>736000</v>
      </c>
      <c r="C40" s="16" t="s">
        <v>140</v>
      </c>
      <c r="D40" s="20" t="n">
        <v>736000</v>
      </c>
      <c r="E40" s="21" t="str">
        <f aca="false">IF(ABS(B40-D40)&lt;=0.5,"OK","DIVERSO")</f>
        <v>OK</v>
      </c>
      <c r="F40" s="16" t="s">
        <v>149</v>
      </c>
    </row>
    <row r="41" customFormat="false" ht="15" hidden="false" customHeight="true" outlineLevel="0" collapsed="false">
      <c r="A41" s="14" t="s">
        <v>159</v>
      </c>
      <c r="B41" s="19" t="n">
        <f aca="false">$B$40+$B$39</f>
        <v>820000</v>
      </c>
      <c r="C41" s="16" t="s">
        <v>140</v>
      </c>
      <c r="D41" s="20" t="n">
        <v>820000</v>
      </c>
      <c r="E41" s="21" t="str">
        <f aca="false">IF(ABS(B41-D41)&lt;=0.5,"OK","DIVERSO")</f>
        <v>OK</v>
      </c>
      <c r="F41" s="16" t="s">
        <v>149</v>
      </c>
    </row>
    <row r="42" customFormat="false" ht="15" hidden="false" customHeight="true" outlineLevel="0" collapsed="false">
      <c r="A42" s="14" t="s">
        <v>160</v>
      </c>
      <c r="B42" s="19" t="n">
        <f aca="false">$B$36-$B$41</f>
        <v>242000</v>
      </c>
      <c r="C42" s="16" t="s">
        <v>140</v>
      </c>
      <c r="D42" s="20" t="n">
        <v>242000</v>
      </c>
      <c r="E42" s="21" t="str">
        <f aca="false">IF(ABS(B42-D42)&lt;=0.5,"OK","DIVERSO")</f>
        <v>OK</v>
      </c>
      <c r="F42" s="16" t="s">
        <v>149</v>
      </c>
    </row>
  </sheetData>
  <mergeCells count="5">
    <mergeCell ref="A1:F1"/>
    <mergeCell ref="A4:F4"/>
    <mergeCell ref="A6:F6"/>
    <mergeCell ref="A21:F21"/>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16</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161</v>
      </c>
      <c r="B4" s="5"/>
      <c r="C4" s="5"/>
      <c r="D4" s="5"/>
      <c r="E4" s="5"/>
      <c r="F4" s="5"/>
    </row>
    <row r="5" customFormat="false" ht="15" hidden="false" customHeight="true" outlineLevel="0" collapsed="false"/>
    <row r="6" customFormat="false" ht="15" hidden="false" customHeight="true" outlineLevel="0" collapsed="false">
      <c r="A6" s="13" t="s">
        <v>162</v>
      </c>
      <c r="B6" s="13"/>
      <c r="C6" s="13"/>
      <c r="D6" s="13"/>
      <c r="E6" s="13"/>
      <c r="F6" s="13"/>
    </row>
    <row r="7" customFormat="false" ht="15" hidden="false" customHeight="true" outlineLevel="0" collapsed="false">
      <c r="A7" s="22" t="s">
        <v>163</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164</v>
      </c>
      <c r="B9" s="15" t="n">
        <v>200000</v>
      </c>
      <c r="C9" s="16" t="s">
        <v>140</v>
      </c>
      <c r="D9" s="17"/>
      <c r="E9" s="17"/>
      <c r="F9" s="16" t="s">
        <v>165</v>
      </c>
    </row>
    <row r="10" customFormat="false" ht="15" hidden="false" customHeight="true" outlineLevel="0" collapsed="false">
      <c r="A10" s="14" t="s">
        <v>166</v>
      </c>
      <c r="B10" s="15" t="n">
        <v>120000</v>
      </c>
      <c r="C10" s="16" t="s">
        <v>140</v>
      </c>
      <c r="D10" s="17"/>
      <c r="E10" s="17"/>
      <c r="F10" s="16" t="s">
        <v>165</v>
      </c>
    </row>
    <row r="11" customFormat="false" ht="15" hidden="false" customHeight="true" outlineLevel="0" collapsed="false">
      <c r="A11" s="14" t="s">
        <v>167</v>
      </c>
      <c r="B11" s="19" t="n">
        <f aca="false">$B$9-$B$10</f>
        <v>80000</v>
      </c>
      <c r="C11" s="16" t="s">
        <v>140</v>
      </c>
      <c r="D11" s="20" t="n">
        <v>80000</v>
      </c>
      <c r="E11" s="21" t="str">
        <f aca="false">IF(ABS(B11-D11)&lt;=0.5,"OK","DIVERSO")</f>
        <v>OK</v>
      </c>
      <c r="F11" s="16" t="s">
        <v>165</v>
      </c>
    </row>
    <row r="12" customFormat="false" ht="15" hidden="false" customHeight="true" outlineLevel="0" collapsed="false">
      <c r="A12" s="14" t="s">
        <v>168</v>
      </c>
      <c r="B12" s="15" t="n">
        <v>55000</v>
      </c>
      <c r="C12" s="16" t="s">
        <v>140</v>
      </c>
      <c r="D12" s="17"/>
      <c r="E12" s="17"/>
      <c r="F12" s="16" t="s">
        <v>165</v>
      </c>
    </row>
    <row r="13" customFormat="false" ht="15" hidden="false" customHeight="true" outlineLevel="0" collapsed="false">
      <c r="A13" s="14" t="s">
        <v>160</v>
      </c>
      <c r="B13" s="19" t="n">
        <f aca="false">$B$11-$B$12</f>
        <v>25000</v>
      </c>
      <c r="C13" s="16" t="s">
        <v>140</v>
      </c>
      <c r="D13" s="20" t="n">
        <v>25000</v>
      </c>
      <c r="E13" s="21" t="str">
        <f aca="false">IF(ABS(B13-D13)&lt;=0.5,"OK","DIVERSO")</f>
        <v>OK</v>
      </c>
      <c r="F13" s="16" t="s">
        <v>165</v>
      </c>
    </row>
    <row r="14" customFormat="false" ht="15" hidden="false" customHeight="true" outlineLevel="0" collapsed="false">
      <c r="A14" s="14" t="s">
        <v>169</v>
      </c>
      <c r="B14" s="15" t="n">
        <v>5000</v>
      </c>
      <c r="C14" s="16" t="s">
        <v>140</v>
      </c>
      <c r="D14" s="17"/>
      <c r="E14" s="17"/>
      <c r="F14" s="16" t="s">
        <v>165</v>
      </c>
    </row>
    <row r="15" customFormat="false" ht="15" hidden="false" customHeight="true" outlineLevel="0" collapsed="false">
      <c r="A15" s="14" t="s">
        <v>170</v>
      </c>
      <c r="B15" s="19" t="n">
        <f aca="false">$B$13-$B$14</f>
        <v>20000</v>
      </c>
      <c r="C15" s="16" t="s">
        <v>140</v>
      </c>
      <c r="D15" s="20" t="n">
        <v>20000</v>
      </c>
      <c r="E15" s="21" t="str">
        <f aca="false">IF(ABS(B15-D15)&lt;=0.5,"OK","DIVERSO")</f>
        <v>OK</v>
      </c>
      <c r="F15" s="16" t="s">
        <v>165</v>
      </c>
    </row>
    <row r="16" customFormat="false" ht="15" hidden="false" customHeight="true" outlineLevel="0" collapsed="false"/>
    <row r="17" customFormat="false" ht="15" hidden="false" customHeight="true" outlineLevel="0" collapsed="false">
      <c r="A17" s="13" t="s">
        <v>171</v>
      </c>
      <c r="B17" s="13"/>
      <c r="C17" s="13"/>
      <c r="D17" s="13"/>
      <c r="E17" s="13"/>
      <c r="F17" s="13"/>
    </row>
    <row r="18" customFormat="false" ht="15" hidden="false" customHeight="true" outlineLevel="0" collapsed="false">
      <c r="A18" s="22" t="s">
        <v>172</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173</v>
      </c>
      <c r="B20" s="15" t="n">
        <v>30000</v>
      </c>
      <c r="C20" s="16" t="s">
        <v>140</v>
      </c>
      <c r="D20" s="17"/>
      <c r="E20" s="17"/>
      <c r="F20" s="16" t="s">
        <v>165</v>
      </c>
    </row>
    <row r="21" customFormat="false" ht="15" hidden="false" customHeight="true" outlineLevel="0" collapsed="false">
      <c r="A21" s="14" t="s">
        <v>174</v>
      </c>
      <c r="B21" s="15" t="n">
        <v>20000</v>
      </c>
      <c r="C21" s="16" t="s">
        <v>140</v>
      </c>
      <c r="D21" s="17"/>
      <c r="E21" s="17"/>
      <c r="F21" s="16" t="s">
        <v>165</v>
      </c>
    </row>
    <row r="22" customFormat="false" ht="15" hidden="false" customHeight="true" outlineLevel="0" collapsed="false">
      <c r="A22" s="14" t="s">
        <v>175</v>
      </c>
      <c r="B22" s="19" t="n">
        <f aca="false">$B$21</f>
        <v>20000</v>
      </c>
      <c r="C22" s="16" t="s">
        <v>140</v>
      </c>
      <c r="D22" s="20" t="n">
        <v>20000</v>
      </c>
      <c r="E22" s="21" t="str">
        <f aca="false">IF(ABS(B22-D22)&lt;=0.5,"OK","DIVERSO")</f>
        <v>OK</v>
      </c>
      <c r="F22" s="16" t="s">
        <v>165</v>
      </c>
    </row>
    <row r="23" customFormat="false" ht="15" hidden="false" customHeight="true" outlineLevel="0" collapsed="false">
      <c r="A23" s="14" t="s">
        <v>176</v>
      </c>
      <c r="B23" s="19" t="n">
        <f aca="false">$B$20-$B$21</f>
        <v>10000</v>
      </c>
      <c r="C23" s="16" t="s">
        <v>140</v>
      </c>
      <c r="D23" s="20" t="n">
        <v>10000</v>
      </c>
      <c r="E23" s="21" t="str">
        <f aca="false">IF(ABS(B23-D23)&lt;=0.5,"OK","DIVERSO")</f>
        <v>OK</v>
      </c>
      <c r="F23" s="16" t="s">
        <v>165</v>
      </c>
    </row>
    <row r="24" customFormat="false" ht="15" hidden="false" customHeight="true" outlineLevel="0" collapsed="false"/>
    <row r="25" customFormat="false" ht="15" hidden="false" customHeight="true" outlineLevel="0" collapsed="false">
      <c r="A25" s="13" t="s">
        <v>177</v>
      </c>
      <c r="B25" s="13"/>
      <c r="C25" s="13"/>
      <c r="D25" s="13"/>
      <c r="E25" s="13"/>
      <c r="F25" s="13"/>
    </row>
    <row r="26" customFormat="false" ht="15" hidden="false" customHeight="true" outlineLevel="0" collapsed="false">
      <c r="A26" s="22" t="s">
        <v>178</v>
      </c>
      <c r="B26" s="22"/>
      <c r="C26" s="22"/>
      <c r="D26" s="22"/>
      <c r="E26" s="22"/>
      <c r="F26" s="22"/>
    </row>
    <row r="27" customFormat="false" ht="15" hidden="false" customHeight="true" outlineLevel="0" collapsed="false">
      <c r="A27" s="6" t="s">
        <v>116</v>
      </c>
      <c r="B27" s="6" t="s">
        <v>117</v>
      </c>
      <c r="C27" s="6" t="s">
        <v>118</v>
      </c>
      <c r="D27" s="6" t="s">
        <v>119</v>
      </c>
      <c r="E27" s="6" t="s">
        <v>120</v>
      </c>
      <c r="F27" s="6" t="s">
        <v>121</v>
      </c>
    </row>
    <row r="28" customFormat="false" ht="15" hidden="false" customHeight="true" outlineLevel="0" collapsed="false">
      <c r="A28" s="14" t="s">
        <v>179</v>
      </c>
      <c r="B28" s="15" t="n">
        <v>100000</v>
      </c>
      <c r="C28" s="16" t="s">
        <v>140</v>
      </c>
      <c r="D28" s="17"/>
      <c r="E28" s="17"/>
      <c r="F28" s="16" t="s">
        <v>165</v>
      </c>
    </row>
    <row r="29" customFormat="false" ht="15" hidden="false" customHeight="true" outlineLevel="0" collapsed="false">
      <c r="A29" s="14" t="s">
        <v>180</v>
      </c>
      <c r="B29" s="15" t="n">
        <v>10</v>
      </c>
      <c r="C29" s="16" t="s">
        <v>181</v>
      </c>
      <c r="D29" s="17"/>
      <c r="E29" s="17"/>
      <c r="F29" s="16" t="s">
        <v>165</v>
      </c>
    </row>
    <row r="30" customFormat="false" ht="15" hidden="false" customHeight="true" outlineLevel="0" collapsed="false">
      <c r="A30" s="14" t="s">
        <v>182</v>
      </c>
      <c r="B30" s="19" t="n">
        <f aca="false">$B$28/$B$29</f>
        <v>10000</v>
      </c>
      <c r="C30" s="16" t="s">
        <v>140</v>
      </c>
      <c r="D30" s="20" t="n">
        <v>10000</v>
      </c>
      <c r="E30" s="21" t="str">
        <f aca="false">IF(ABS(B30-D30)&lt;=0.5,"OK","DIVERSO")</f>
        <v>OK</v>
      </c>
      <c r="F30" s="16" t="s">
        <v>165</v>
      </c>
    </row>
    <row r="31" customFormat="false" ht="15" hidden="false" customHeight="true" outlineLevel="0" collapsed="false"/>
    <row r="32" customFormat="false" ht="15" hidden="false" customHeight="true" outlineLevel="0" collapsed="false">
      <c r="A32" s="13" t="s">
        <v>183</v>
      </c>
      <c r="B32" s="13"/>
      <c r="C32" s="13"/>
      <c r="D32" s="13"/>
      <c r="E32" s="13"/>
      <c r="F32" s="13"/>
    </row>
    <row r="33" customFormat="false" ht="15" hidden="false" customHeight="true" outlineLevel="0" collapsed="false">
      <c r="A33" s="22" t="s">
        <v>184</v>
      </c>
      <c r="B33" s="22"/>
      <c r="C33" s="22"/>
      <c r="D33" s="22"/>
      <c r="E33" s="22"/>
      <c r="F33" s="22"/>
    </row>
    <row r="34" customFormat="false" ht="15" hidden="false" customHeight="true" outlineLevel="0" collapsed="false">
      <c r="A34" s="6" t="s">
        <v>116</v>
      </c>
      <c r="B34" s="6" t="s">
        <v>117</v>
      </c>
      <c r="C34" s="6" t="s">
        <v>118</v>
      </c>
      <c r="D34" s="6" t="s">
        <v>119</v>
      </c>
      <c r="E34" s="6" t="s">
        <v>120</v>
      </c>
      <c r="F34" s="6" t="s">
        <v>121</v>
      </c>
    </row>
    <row r="35" customFormat="false" ht="15" hidden="false" customHeight="true" outlineLevel="0" collapsed="false">
      <c r="A35" s="14" t="s">
        <v>164</v>
      </c>
      <c r="B35" s="19" t="n">
        <f aca="false">Impresa_guida!$B$34</f>
        <v>3386000</v>
      </c>
      <c r="C35" s="16" t="s">
        <v>140</v>
      </c>
      <c r="D35" s="20" t="n">
        <v>3386000</v>
      </c>
      <c r="E35" s="21" t="str">
        <f aca="false">IF(ABS(B35-D35)&lt;=0.5,"OK","DIVERSO")</f>
        <v>OK</v>
      </c>
      <c r="F35" s="16" t="s">
        <v>165</v>
      </c>
    </row>
    <row r="36" customFormat="false" ht="15" hidden="false" customHeight="true" outlineLevel="0" collapsed="false">
      <c r="A36" s="14" t="s">
        <v>166</v>
      </c>
      <c r="B36" s="19" t="n">
        <f aca="false">Impresa_guida!$B$35</f>
        <v>2324000</v>
      </c>
      <c r="C36" s="16" t="s">
        <v>140</v>
      </c>
      <c r="D36" s="20" t="n">
        <v>2324000</v>
      </c>
      <c r="E36" s="21" t="str">
        <f aca="false">IF(ABS(B36-D36)&lt;=0.5,"OK","DIVERSO")</f>
        <v>OK</v>
      </c>
      <c r="F36" s="16" t="s">
        <v>165</v>
      </c>
    </row>
    <row r="37" customFormat="false" ht="15" hidden="false" customHeight="true" outlineLevel="0" collapsed="false">
      <c r="A37" s="14" t="s">
        <v>167</v>
      </c>
      <c r="B37" s="19" t="n">
        <f aca="false">$B$35-$B$36</f>
        <v>1062000</v>
      </c>
      <c r="C37" s="16" t="s">
        <v>140</v>
      </c>
      <c r="D37" s="20" t="n">
        <v>1062000</v>
      </c>
      <c r="E37" s="21" t="str">
        <f aca="false">IF(ABS(B37-D37)&lt;=0.5,"OK","DIVERSO")</f>
        <v>OK</v>
      </c>
      <c r="F37" s="16" t="s">
        <v>165</v>
      </c>
    </row>
    <row r="38" customFormat="false" ht="15" hidden="false" customHeight="true" outlineLevel="0" collapsed="false">
      <c r="A38" s="14" t="s">
        <v>159</v>
      </c>
      <c r="B38" s="19" t="n">
        <f aca="false">Impresa_guida!$B$41</f>
        <v>820000</v>
      </c>
      <c r="C38" s="16" t="s">
        <v>140</v>
      </c>
      <c r="D38" s="20" t="n">
        <v>820000</v>
      </c>
      <c r="E38" s="21" t="str">
        <f aca="false">IF(ABS(B38-D38)&lt;=0.5,"OK","DIVERSO")</f>
        <v>OK</v>
      </c>
      <c r="F38" s="16" t="s">
        <v>165</v>
      </c>
    </row>
    <row r="39" customFormat="false" ht="15" hidden="false" customHeight="true" outlineLevel="0" collapsed="false">
      <c r="A39" s="14" t="s">
        <v>160</v>
      </c>
      <c r="B39" s="19" t="n">
        <f aca="false">$B$37-$B$38</f>
        <v>242000</v>
      </c>
      <c r="C39" s="16" t="s">
        <v>140</v>
      </c>
      <c r="D39" s="20" t="n">
        <v>242000</v>
      </c>
      <c r="E39" s="21" t="str">
        <f aca="false">IF(ABS(B39-D39)&lt;=0.5,"OK","DIVERSO")</f>
        <v>OK</v>
      </c>
      <c r="F39" s="16" t="s">
        <v>165</v>
      </c>
    </row>
    <row r="40" customFormat="false" ht="15" hidden="false" customHeight="true" outlineLevel="0" collapsed="false"/>
    <row r="41" customFormat="false" ht="15" hidden="false" customHeight="true" outlineLevel="0" collapsed="false">
      <c r="A41" s="13" t="s">
        <v>185</v>
      </c>
      <c r="B41" s="13"/>
      <c r="C41" s="13"/>
      <c r="D41" s="13"/>
      <c r="E41" s="13"/>
      <c r="F41" s="13"/>
    </row>
    <row r="42" customFormat="false" ht="15" hidden="false" customHeight="true" outlineLevel="0" collapsed="false">
      <c r="A42" s="22" t="s">
        <v>186</v>
      </c>
      <c r="B42" s="22"/>
      <c r="C42" s="22"/>
      <c r="D42" s="22"/>
      <c r="E42" s="22"/>
      <c r="F42" s="22"/>
    </row>
    <row r="43" customFormat="false" ht="15" hidden="false" customHeight="true" outlineLevel="0" collapsed="false">
      <c r="A43" s="6" t="s">
        <v>116</v>
      </c>
      <c r="B43" s="6" t="s">
        <v>117</v>
      </c>
      <c r="C43" s="6" t="s">
        <v>118</v>
      </c>
      <c r="D43" s="6" t="s">
        <v>119</v>
      </c>
      <c r="E43" s="6" t="s">
        <v>120</v>
      </c>
      <c r="F43" s="6" t="s">
        <v>121</v>
      </c>
    </row>
    <row r="44" customFormat="false" ht="15" hidden="false" customHeight="true" outlineLevel="0" collapsed="false">
      <c r="A44" s="14" t="s">
        <v>187</v>
      </c>
      <c r="B44" s="15" t="n">
        <v>74000</v>
      </c>
      <c r="C44" s="16" t="s">
        <v>140</v>
      </c>
      <c r="D44" s="17"/>
      <c r="E44" s="17"/>
      <c r="F44" s="16" t="s">
        <v>165</v>
      </c>
    </row>
    <row r="45" customFormat="false" ht="15" hidden="false" customHeight="true" outlineLevel="0" collapsed="false">
      <c r="A45" s="14" t="s">
        <v>188</v>
      </c>
      <c r="B45" s="15" t="n">
        <v>180000</v>
      </c>
      <c r="C45" s="16" t="s">
        <v>140</v>
      </c>
      <c r="D45" s="17"/>
      <c r="E45" s="17"/>
      <c r="F45" s="16" t="s">
        <v>165</v>
      </c>
    </row>
    <row r="46" customFormat="false" ht="15" hidden="false" customHeight="true" outlineLevel="0" collapsed="false">
      <c r="A46" s="14" t="s">
        <v>189</v>
      </c>
      <c r="B46" s="19" t="n">
        <f aca="false">$B$35-$B$45</f>
        <v>3206000</v>
      </c>
      <c r="C46" s="16" t="s">
        <v>140</v>
      </c>
      <c r="D46" s="20" t="n">
        <v>3206000</v>
      </c>
      <c r="E46" s="21" t="str">
        <f aca="false">IF(ABS(B46-D46)&lt;=0.5,"OK","DIVERSO")</f>
        <v>OK</v>
      </c>
      <c r="F46" s="16" t="s">
        <v>165</v>
      </c>
    </row>
  </sheetData>
  <mergeCells count="12">
    <mergeCell ref="A1:F1"/>
    <mergeCell ref="A4:F4"/>
    <mergeCell ref="A6:F6"/>
    <mergeCell ref="A7:F7"/>
    <mergeCell ref="A17:F17"/>
    <mergeCell ref="A18:F18"/>
    <mergeCell ref="A25:F25"/>
    <mergeCell ref="A26:F26"/>
    <mergeCell ref="A32:F32"/>
    <mergeCell ref="A33:F33"/>
    <mergeCell ref="A41:F41"/>
    <mergeCell ref="A42:F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19</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190</v>
      </c>
      <c r="B4" s="5"/>
      <c r="C4" s="5"/>
      <c r="D4" s="5"/>
      <c r="E4" s="5"/>
      <c r="F4" s="5"/>
    </row>
    <row r="5" customFormat="false" ht="15" hidden="false" customHeight="true" outlineLevel="0" collapsed="false"/>
    <row r="6" customFormat="false" ht="15" hidden="false" customHeight="true" outlineLevel="0" collapsed="false">
      <c r="A6" s="13" t="s">
        <v>191</v>
      </c>
      <c r="B6" s="13"/>
      <c r="C6" s="13"/>
      <c r="D6" s="13"/>
      <c r="E6" s="13"/>
      <c r="F6" s="13"/>
    </row>
    <row r="7" customFormat="false" ht="15" hidden="false" customHeight="true" outlineLevel="0" collapsed="false">
      <c r="A7" s="22" t="s">
        <v>192</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193</v>
      </c>
      <c r="B9" s="15" t="n">
        <v>46000</v>
      </c>
      <c r="C9" s="16" t="s">
        <v>140</v>
      </c>
      <c r="D9" s="17"/>
      <c r="E9" s="17"/>
      <c r="F9" s="16" t="s">
        <v>194</v>
      </c>
    </row>
    <row r="10" customFormat="false" ht="15" hidden="false" customHeight="true" outlineLevel="0" collapsed="false">
      <c r="A10" s="14" t="s">
        <v>195</v>
      </c>
      <c r="B10" s="19" t="n">
        <f aca="false">Cap_01!$B$44</f>
        <v>74000</v>
      </c>
      <c r="C10" s="16" t="s">
        <v>140</v>
      </c>
      <c r="D10" s="17"/>
      <c r="E10" s="17"/>
      <c r="F10" s="16" t="s">
        <v>194</v>
      </c>
    </row>
    <row r="11" customFormat="false" ht="15" hidden="false" customHeight="true" outlineLevel="0" collapsed="false">
      <c r="A11" s="14" t="s">
        <v>196</v>
      </c>
      <c r="B11" s="19" t="n">
        <f aca="false">Impresa_guida!$B$39</f>
        <v>84000</v>
      </c>
      <c r="C11" s="16" t="s">
        <v>140</v>
      </c>
      <c r="D11" s="20" t="n">
        <v>84000</v>
      </c>
      <c r="E11" s="21" t="str">
        <f aca="false">IF(ABS(B11-D11)&lt;=0.5,"OK","DIVERSO")</f>
        <v>OK</v>
      </c>
      <c r="F11" s="16" t="s">
        <v>194</v>
      </c>
    </row>
    <row r="12" customFormat="false" ht="15" hidden="false" customHeight="true" outlineLevel="0" collapsed="false">
      <c r="A12" s="14" t="s">
        <v>197</v>
      </c>
      <c r="B12" s="15" t="n">
        <v>0</v>
      </c>
      <c r="C12" s="16" t="s">
        <v>140</v>
      </c>
      <c r="D12" s="17"/>
      <c r="E12" s="17"/>
      <c r="F12" s="16" t="s">
        <v>194</v>
      </c>
    </row>
    <row r="13" customFormat="false" ht="15" hidden="false" customHeight="true" outlineLevel="0" collapsed="false">
      <c r="A13" s="14" t="s">
        <v>198</v>
      </c>
      <c r="B13" s="19" t="n">
        <f aca="false">$B$9+$B$10+$B$11+$B$12</f>
        <v>204000</v>
      </c>
      <c r="C13" s="16" t="s">
        <v>140</v>
      </c>
      <c r="D13" s="20" t="n">
        <v>204000</v>
      </c>
      <c r="E13" s="21" t="str">
        <f aca="false">IF(ABS(B13-D13)&lt;=0.5,"OK","DIVERSO")</f>
        <v>OK</v>
      </c>
      <c r="F13" s="16" t="s">
        <v>194</v>
      </c>
    </row>
    <row r="14" customFormat="false" ht="15" hidden="false" customHeight="true" outlineLevel="0" collapsed="false"/>
    <row r="15" customFormat="false" ht="15" hidden="false" customHeight="true" outlineLevel="0" collapsed="false">
      <c r="A15" s="13" t="s">
        <v>199</v>
      </c>
      <c r="B15" s="13"/>
      <c r="C15" s="13"/>
      <c r="D15" s="13"/>
      <c r="E15" s="13"/>
      <c r="F15" s="13"/>
    </row>
    <row r="16" customFormat="false" ht="15" hidden="false" customHeight="true" outlineLevel="0" collapsed="false">
      <c r="A16" s="22" t="s">
        <v>200</v>
      </c>
      <c r="B16" s="22"/>
      <c r="C16" s="22"/>
      <c r="D16" s="22"/>
      <c r="E16" s="22"/>
      <c r="F16" s="22"/>
    </row>
    <row r="17" customFormat="false" ht="15" hidden="false" customHeight="true" outlineLevel="0" collapsed="false">
      <c r="A17" s="6" t="s">
        <v>116</v>
      </c>
      <c r="B17" s="6" t="s">
        <v>117</v>
      </c>
      <c r="C17" s="6" t="s">
        <v>118</v>
      </c>
      <c r="D17" s="6" t="s">
        <v>119</v>
      </c>
      <c r="E17" s="6" t="s">
        <v>120</v>
      </c>
      <c r="F17" s="6" t="s">
        <v>121</v>
      </c>
    </row>
    <row r="18" customFormat="false" ht="15" hidden="false" customHeight="true" outlineLevel="0" collapsed="false">
      <c r="A18" s="14" t="s">
        <v>201</v>
      </c>
      <c r="B18" s="15" t="n">
        <v>186000</v>
      </c>
      <c r="C18" s="16" t="s">
        <v>140</v>
      </c>
      <c r="D18" s="17"/>
      <c r="E18" s="17"/>
      <c r="F18" s="16" t="s">
        <v>194</v>
      </c>
    </row>
    <row r="19" customFormat="false" ht="15" hidden="false" customHeight="true" outlineLevel="0" collapsed="false">
      <c r="A19" s="14" t="s">
        <v>202</v>
      </c>
      <c r="B19" s="15" t="n">
        <v>54000</v>
      </c>
      <c r="C19" s="16" t="s">
        <v>140</v>
      </c>
      <c r="D19" s="17"/>
      <c r="E19" s="17"/>
      <c r="F19" s="16" t="s">
        <v>194</v>
      </c>
    </row>
    <row r="20" customFormat="false" ht="15" hidden="false" customHeight="true" outlineLevel="0" collapsed="false">
      <c r="A20" s="14" t="s">
        <v>203</v>
      </c>
      <c r="B20" s="19" t="n">
        <f aca="false">$B$18+$B$19</f>
        <v>240000</v>
      </c>
      <c r="C20" s="16" t="s">
        <v>140</v>
      </c>
      <c r="D20" s="20" t="n">
        <v>240000</v>
      </c>
      <c r="E20" s="21" t="str">
        <f aca="false">IF(ABS(B20-D20)&lt;=0.5,"OK","DIVERSO")</f>
        <v>OK</v>
      </c>
      <c r="F20" s="16" t="s">
        <v>194</v>
      </c>
    </row>
    <row r="21" customFormat="false" ht="15" hidden="false" customHeight="true" outlineLevel="0" collapsed="false">
      <c r="A21" s="14" t="s">
        <v>204</v>
      </c>
      <c r="B21" s="15" t="n">
        <v>42000</v>
      </c>
      <c r="C21" s="16" t="s">
        <v>140</v>
      </c>
      <c r="D21" s="17"/>
      <c r="E21" s="17"/>
      <c r="F21" s="16" t="s">
        <v>194</v>
      </c>
    </row>
    <row r="22" customFormat="false" ht="15" hidden="false" customHeight="true" outlineLevel="0" collapsed="false">
      <c r="A22" s="14" t="s">
        <v>205</v>
      </c>
      <c r="B22" s="15" t="n">
        <v>138000</v>
      </c>
      <c r="C22" s="16" t="s">
        <v>140</v>
      </c>
      <c r="D22" s="17"/>
      <c r="E22" s="17"/>
      <c r="F22" s="16" t="s">
        <v>194</v>
      </c>
    </row>
    <row r="23" customFormat="false" ht="15" hidden="false" customHeight="true" outlineLevel="0" collapsed="false">
      <c r="A23" s="14" t="s">
        <v>206</v>
      </c>
      <c r="B23" s="19" t="n">
        <f aca="false">$B$21+$B$22</f>
        <v>180000</v>
      </c>
      <c r="C23" s="16" t="s">
        <v>140</v>
      </c>
      <c r="D23" s="20" t="n">
        <v>180000</v>
      </c>
      <c r="E23" s="21" t="str">
        <f aca="false">IF(ABS(B23-D23)&lt;=0.5,"OK","DIVERSO")</f>
        <v>OK</v>
      </c>
      <c r="F23" s="16" t="s">
        <v>194</v>
      </c>
    </row>
    <row r="24" customFormat="false" ht="15" hidden="false" customHeight="true" outlineLevel="0" collapsed="false">
      <c r="A24" s="14" t="s">
        <v>207</v>
      </c>
      <c r="B24" s="15" t="n">
        <v>118000</v>
      </c>
      <c r="C24" s="16" t="s">
        <v>140</v>
      </c>
      <c r="D24" s="17"/>
      <c r="E24" s="17"/>
      <c r="F24" s="16" t="s">
        <v>194</v>
      </c>
    </row>
    <row r="25" customFormat="false" ht="15" hidden="false" customHeight="true" outlineLevel="0" collapsed="false">
      <c r="A25" s="14" t="s">
        <v>208</v>
      </c>
      <c r="B25" s="15" t="n">
        <v>32000</v>
      </c>
      <c r="C25" s="16" t="s">
        <v>140</v>
      </c>
      <c r="D25" s="17"/>
      <c r="E25" s="17"/>
      <c r="F25" s="16" t="s">
        <v>194</v>
      </c>
    </row>
    <row r="26" customFormat="false" ht="15" hidden="false" customHeight="true" outlineLevel="0" collapsed="false">
      <c r="A26" s="14" t="s">
        <v>209</v>
      </c>
      <c r="B26" s="19" t="n">
        <f aca="false">$B$24+$B$25</f>
        <v>150000</v>
      </c>
      <c r="C26" s="16" t="s">
        <v>140</v>
      </c>
      <c r="D26" s="20" t="n">
        <v>150000</v>
      </c>
      <c r="E26" s="21" t="str">
        <f aca="false">IF(ABS(B26-D26)&lt;=0.5,"OK","DIVERSO")</f>
        <v>OK</v>
      </c>
      <c r="F26" s="16" t="s">
        <v>194</v>
      </c>
    </row>
    <row r="27" customFormat="false" ht="15" hidden="false" customHeight="true" outlineLevel="0" collapsed="false">
      <c r="A27" s="14" t="s">
        <v>210</v>
      </c>
      <c r="B27" s="19" t="n">
        <f aca="false">$B$20+$B$23+$B$26</f>
        <v>570000</v>
      </c>
      <c r="C27" s="16" t="s">
        <v>140</v>
      </c>
      <c r="D27" s="20" t="n">
        <v>570000</v>
      </c>
      <c r="E27" s="21" t="str">
        <f aca="false">IF(ABS(B27-D27)&lt;=0.5,"OK","DIVERSO")</f>
        <v>OK</v>
      </c>
      <c r="F27" s="16" t="s">
        <v>194</v>
      </c>
    </row>
    <row r="28" customFormat="false" ht="15" hidden="false" customHeight="true" outlineLevel="0" collapsed="false"/>
    <row r="29" customFormat="false" ht="15" hidden="false" customHeight="true" outlineLevel="0" collapsed="false">
      <c r="A29" s="13" t="s">
        <v>211</v>
      </c>
      <c r="B29" s="13"/>
      <c r="C29" s="13"/>
      <c r="D29" s="13"/>
      <c r="E29" s="13"/>
      <c r="F29" s="13"/>
    </row>
    <row r="30" customFormat="false" ht="15" hidden="false" customHeight="true" outlineLevel="0" collapsed="false">
      <c r="A30" s="22" t="s">
        <v>212</v>
      </c>
      <c r="B30" s="22"/>
      <c r="C30" s="22"/>
      <c r="D30" s="22"/>
      <c r="E30" s="22"/>
      <c r="F30" s="22"/>
    </row>
    <row r="31" customFormat="false" ht="15" hidden="false" customHeight="true" outlineLevel="0" collapsed="false">
      <c r="A31" s="6" t="s">
        <v>116</v>
      </c>
      <c r="B31" s="6" t="s">
        <v>117</v>
      </c>
      <c r="C31" s="6" t="s">
        <v>118</v>
      </c>
      <c r="D31" s="6" t="s">
        <v>119</v>
      </c>
      <c r="E31" s="6" t="s">
        <v>120</v>
      </c>
      <c r="F31" s="6" t="s">
        <v>121</v>
      </c>
    </row>
    <row r="32" customFormat="false" ht="15" hidden="false" customHeight="true" outlineLevel="0" collapsed="false">
      <c r="A32" s="14" t="s">
        <v>213</v>
      </c>
      <c r="B32" s="19" t="n">
        <f aca="false">Impresa_guida!$B$25</f>
        <v>46000</v>
      </c>
      <c r="C32" s="16" t="s">
        <v>140</v>
      </c>
      <c r="D32" s="20" t="n">
        <v>46000</v>
      </c>
      <c r="E32" s="21" t="str">
        <f aca="false">IF(ABS(B32-D32)&lt;=0.5,"OK","DIVERSO")</f>
        <v>OK</v>
      </c>
      <c r="F32" s="16" t="s">
        <v>194</v>
      </c>
    </row>
    <row r="33" customFormat="false" ht="15" hidden="false" customHeight="true" outlineLevel="0" collapsed="false">
      <c r="A33" s="14" t="s">
        <v>214</v>
      </c>
      <c r="B33" s="19" t="n">
        <f aca="false">$B$32</f>
        <v>46000</v>
      </c>
      <c r="C33" s="16" t="s">
        <v>140</v>
      </c>
      <c r="D33" s="20" t="n">
        <v>46000</v>
      </c>
      <c r="E33" s="21" t="str">
        <f aca="false">IF(ABS(B33-D33)&lt;=0.5,"OK","DIVERSO")</f>
        <v>OK</v>
      </c>
      <c r="F33" s="16" t="s">
        <v>194</v>
      </c>
    </row>
    <row r="34" customFormat="false" ht="15" hidden="false" customHeight="true" outlineLevel="0" collapsed="false"/>
    <row r="35" customFormat="false" ht="15" hidden="false" customHeight="true" outlineLevel="0" collapsed="false">
      <c r="A35" s="13" t="s">
        <v>215</v>
      </c>
      <c r="B35" s="13"/>
      <c r="C35" s="13"/>
      <c r="D35" s="13"/>
      <c r="E35" s="13"/>
      <c r="F35" s="13"/>
    </row>
    <row r="36" customFormat="false" ht="15" hidden="false" customHeight="true" outlineLevel="0" collapsed="false">
      <c r="A36" s="22" t="s">
        <v>216</v>
      </c>
      <c r="B36" s="22"/>
      <c r="C36" s="22"/>
      <c r="D36" s="22"/>
      <c r="E36" s="22"/>
      <c r="F36" s="22"/>
    </row>
    <row r="37" customFormat="false" ht="15" hidden="false" customHeight="true" outlineLevel="0" collapsed="false">
      <c r="A37" s="6" t="s">
        <v>116</v>
      </c>
      <c r="B37" s="6" t="s">
        <v>117</v>
      </c>
      <c r="C37" s="6" t="s">
        <v>118</v>
      </c>
      <c r="D37" s="6" t="s">
        <v>119</v>
      </c>
      <c r="E37" s="6" t="s">
        <v>120</v>
      </c>
      <c r="F37" s="6" t="s">
        <v>121</v>
      </c>
    </row>
    <row r="38" customFormat="false" ht="15" hidden="false" customHeight="true" outlineLevel="0" collapsed="false">
      <c r="A38" s="14" t="s">
        <v>193</v>
      </c>
      <c r="B38" s="19" t="n">
        <f aca="false">$B$9+$B$18+$B$21+$B$24+$B$32</f>
        <v>438000</v>
      </c>
      <c r="C38" s="16" t="s">
        <v>140</v>
      </c>
      <c r="D38" s="20" t="n">
        <v>438000</v>
      </c>
      <c r="E38" s="21" t="str">
        <f aca="false">IF(ABS(B38-D38)&lt;=0.5,"OK","DIVERSO")</f>
        <v>OK</v>
      </c>
      <c r="F38" s="16" t="s">
        <v>194</v>
      </c>
    </row>
    <row r="39" customFormat="false" ht="15" hidden="false" customHeight="true" outlineLevel="0" collapsed="false">
      <c r="A39" s="14" t="s">
        <v>195</v>
      </c>
      <c r="B39" s="19" t="n">
        <f aca="false">$B$10</f>
        <v>74000</v>
      </c>
      <c r="C39" s="16" t="s">
        <v>140</v>
      </c>
      <c r="D39" s="20" t="n">
        <v>74000</v>
      </c>
      <c r="E39" s="21" t="str">
        <f aca="false">IF(ABS(B39-D39)&lt;=0.5,"OK","DIVERSO")</f>
        <v>OK</v>
      </c>
      <c r="F39" s="16" t="s">
        <v>194</v>
      </c>
    </row>
    <row r="40" customFormat="false" ht="15" hidden="false" customHeight="true" outlineLevel="0" collapsed="false">
      <c r="A40" s="14" t="s">
        <v>196</v>
      </c>
      <c r="B40" s="19" t="n">
        <f aca="false">$B$11</f>
        <v>84000</v>
      </c>
      <c r="C40" s="16" t="s">
        <v>140</v>
      </c>
      <c r="D40" s="20" t="n">
        <v>84000</v>
      </c>
      <c r="E40" s="21" t="str">
        <f aca="false">IF(ABS(B40-D40)&lt;=0.5,"OK","DIVERSO")</f>
        <v>OK</v>
      </c>
      <c r="F40" s="16" t="s">
        <v>194</v>
      </c>
    </row>
    <row r="41" customFormat="false" ht="15" hidden="false" customHeight="true" outlineLevel="0" collapsed="false">
      <c r="A41" s="14" t="s">
        <v>197</v>
      </c>
      <c r="B41" s="19" t="n">
        <f aca="false">$B$12+$B$19+$B$22+$B$25</f>
        <v>224000</v>
      </c>
      <c r="C41" s="16" t="s">
        <v>140</v>
      </c>
      <c r="D41" s="20" t="n">
        <v>224000</v>
      </c>
      <c r="E41" s="21" t="str">
        <f aca="false">IF(ABS(B41-D41)&lt;=0.5,"OK","DIVERSO")</f>
        <v>OK</v>
      </c>
      <c r="F41" s="16" t="s">
        <v>194</v>
      </c>
    </row>
    <row r="42" customFormat="false" ht="15" hidden="false" customHeight="true" outlineLevel="0" collapsed="false">
      <c r="A42" s="14" t="s">
        <v>217</v>
      </c>
      <c r="B42" s="19" t="n">
        <f aca="false">$B$38+$B$39+$B$40+$B$41</f>
        <v>820000</v>
      </c>
      <c r="C42" s="16" t="s">
        <v>140</v>
      </c>
      <c r="D42" s="20" t="n">
        <v>820000</v>
      </c>
      <c r="E42" s="21" t="str">
        <f aca="false">IF(ABS(B42-D42)&lt;=0.5,"OK","DIVERSO")</f>
        <v>OK</v>
      </c>
      <c r="F42" s="16" t="s">
        <v>194</v>
      </c>
    </row>
    <row r="43" customFormat="false" ht="15" hidden="false" customHeight="true" outlineLevel="0" collapsed="false"/>
    <row r="44" customFormat="false" ht="15" hidden="false" customHeight="true" outlineLevel="0" collapsed="false">
      <c r="A44" s="13" t="s">
        <v>218</v>
      </c>
      <c r="B44" s="13"/>
      <c r="C44" s="13"/>
      <c r="D44" s="13"/>
      <c r="E44" s="13"/>
      <c r="F44" s="13"/>
    </row>
    <row r="45" customFormat="false" ht="15" hidden="false" customHeight="true" outlineLevel="0" collapsed="false">
      <c r="A45" s="22" t="s">
        <v>219</v>
      </c>
      <c r="B45" s="22"/>
      <c r="C45" s="22"/>
      <c r="D45" s="22"/>
      <c r="E45" s="22"/>
      <c r="F45" s="22"/>
    </row>
    <row r="46" customFormat="false" ht="15" hidden="false" customHeight="true" outlineLevel="0" collapsed="false">
      <c r="A46" s="6" t="s">
        <v>116</v>
      </c>
      <c r="B46" s="6" t="s">
        <v>117</v>
      </c>
      <c r="C46" s="6" t="s">
        <v>118</v>
      </c>
      <c r="D46" s="6" t="s">
        <v>119</v>
      </c>
      <c r="E46" s="6" t="s">
        <v>120</v>
      </c>
      <c r="F46" s="6" t="s">
        <v>121</v>
      </c>
    </row>
    <row r="47" customFormat="false" ht="15" hidden="false" customHeight="true" outlineLevel="0" collapsed="false">
      <c r="A47" s="14" t="s">
        <v>220</v>
      </c>
      <c r="B47" s="19" t="n">
        <f aca="false">$B$13+$B$20+$B$23+$B$26+$B$33</f>
        <v>820000</v>
      </c>
      <c r="C47" s="16" t="s">
        <v>140</v>
      </c>
      <c r="D47" s="20" t="n">
        <v>820000</v>
      </c>
      <c r="E47" s="21" t="str">
        <f aca="false">IF(ABS(B47-D47)&lt;=0.5,"OK","DIVERSO")</f>
        <v>OK</v>
      </c>
      <c r="F47" s="16" t="s">
        <v>194</v>
      </c>
    </row>
    <row r="48" customFormat="false" ht="15" hidden="false" customHeight="true" outlineLevel="0" collapsed="false">
      <c r="A48" s="14" t="s">
        <v>221</v>
      </c>
      <c r="B48" s="19" t="n">
        <f aca="false">$B$42-$B$47</f>
        <v>0</v>
      </c>
      <c r="C48" s="16" t="s">
        <v>140</v>
      </c>
      <c r="D48" s="20" t="n">
        <v>0</v>
      </c>
      <c r="E48" s="21" t="str">
        <f aca="false">IF(ABS(B48-D48)&lt;=0.5,"OK","DIVERSO")</f>
        <v>OK</v>
      </c>
      <c r="F48" s="16" t="s">
        <v>194</v>
      </c>
    </row>
    <row r="49" customFormat="false" ht="15" hidden="false" customHeight="true" outlineLevel="0" collapsed="false">
      <c r="A49" s="14" t="s">
        <v>222</v>
      </c>
      <c r="B49" s="19" t="n">
        <f aca="false">$B$47-Impresa_guida!$B$41</f>
        <v>0</v>
      </c>
      <c r="C49" s="16" t="s">
        <v>140</v>
      </c>
      <c r="D49" s="20" t="n">
        <v>0</v>
      </c>
      <c r="E49" s="21" t="str">
        <f aca="false">IF(ABS(B49-D49)&lt;=0.5,"OK","DIVERSO")</f>
        <v>OK</v>
      </c>
      <c r="F49" s="16" t="s">
        <v>194</v>
      </c>
    </row>
    <row r="50" customFormat="false" ht="23.25" hidden="false" customHeight="true" outlineLevel="0" collapsed="false">
      <c r="A50" s="14" t="s">
        <v>223</v>
      </c>
      <c r="B50" s="19" t="n">
        <f aca="false">$B$9+$B$10-Impresa_guida!$B$24</f>
        <v>0</v>
      </c>
      <c r="C50" s="16" t="s">
        <v>140</v>
      </c>
      <c r="D50" s="20" t="n">
        <v>0</v>
      </c>
      <c r="E50" s="21" t="str">
        <f aca="false">IF(ABS(B50-D50)&lt;=0.5,"OK","DIVERSO")</f>
        <v>OK</v>
      </c>
      <c r="F50" s="16" t="s">
        <v>194</v>
      </c>
    </row>
    <row r="51" customFormat="false" ht="15" hidden="false" customHeight="true" outlineLevel="0" collapsed="false">
      <c r="A51" s="14" t="s">
        <v>224</v>
      </c>
      <c r="B51" s="19" t="n">
        <f aca="false">$B$27-Impresa_guida!$B$23</f>
        <v>0</v>
      </c>
      <c r="C51" s="16" t="s">
        <v>140</v>
      </c>
      <c r="D51" s="20" t="n">
        <v>0</v>
      </c>
      <c r="E51" s="21" t="str">
        <f aca="false">IF(ABS(B51-D51)&lt;=0.5,"OK","DIVERSO")</f>
        <v>OK</v>
      </c>
      <c r="F51" s="16" t="s">
        <v>194</v>
      </c>
    </row>
    <row r="52" customFormat="false" ht="15" hidden="false" customHeight="true" outlineLevel="0" collapsed="false"/>
    <row r="53" customFormat="false" ht="15" hidden="false" customHeight="true" outlineLevel="0" collapsed="false">
      <c r="A53" s="13" t="s">
        <v>225</v>
      </c>
      <c r="B53" s="13"/>
      <c r="C53" s="13"/>
      <c r="D53" s="13"/>
      <c r="E53" s="13"/>
      <c r="F53" s="13"/>
    </row>
    <row r="54" customFormat="false" ht="15" hidden="false" customHeight="true" outlineLevel="0" collapsed="false">
      <c r="A54" s="22" t="s">
        <v>226</v>
      </c>
      <c r="B54" s="22"/>
      <c r="C54" s="22"/>
      <c r="D54" s="22"/>
      <c r="E54" s="22"/>
      <c r="F54" s="22"/>
    </row>
    <row r="55" customFormat="false" ht="15" hidden="false" customHeight="true" outlineLevel="0" collapsed="false">
      <c r="A55" s="6" t="s">
        <v>116</v>
      </c>
      <c r="B55" s="6" t="s">
        <v>117</v>
      </c>
      <c r="C55" s="6" t="s">
        <v>118</v>
      </c>
      <c r="D55" s="6" t="s">
        <v>119</v>
      </c>
      <c r="E55" s="6" t="s">
        <v>120</v>
      </c>
      <c r="F55" s="6" t="s">
        <v>121</v>
      </c>
    </row>
    <row r="56" customFormat="false" ht="15" hidden="false" customHeight="true" outlineLevel="0" collapsed="false">
      <c r="A56" s="14" t="s">
        <v>227</v>
      </c>
      <c r="B56" s="19" t="n">
        <f aca="false">Impresa_guida!$B$37-Impresa_guida!$B$26</f>
        <v>3000</v>
      </c>
      <c r="C56" s="16" t="s">
        <v>144</v>
      </c>
      <c r="D56" s="20" t="n">
        <v>3000</v>
      </c>
      <c r="E56" s="21" t="str">
        <f aca="false">IF(ABS(B56-D56)&lt;=0.5,"OK","DIVERSO")</f>
        <v>OK</v>
      </c>
      <c r="F56" s="16" t="s">
        <v>194</v>
      </c>
    </row>
    <row r="57" customFormat="false" ht="15" hidden="false" customHeight="true" outlineLevel="0" collapsed="false">
      <c r="A57" s="14" t="s">
        <v>228</v>
      </c>
      <c r="B57" s="19" t="n">
        <f aca="false">$B$56*Impresa_guida!$B$27</f>
        <v>84000</v>
      </c>
      <c r="C57" s="16" t="s">
        <v>140</v>
      </c>
      <c r="D57" s="20" t="n">
        <v>84000</v>
      </c>
      <c r="E57" s="21" t="str">
        <f aca="false">IF(ABS(B57-D57)&lt;=0.5,"OK","DIVERSO")</f>
        <v>OK</v>
      </c>
      <c r="F57" s="16" t="s">
        <v>194</v>
      </c>
    </row>
    <row r="58" customFormat="false" ht="15" hidden="false" customHeight="true" outlineLevel="0" collapsed="false">
      <c r="A58" s="14" t="s">
        <v>229</v>
      </c>
      <c r="B58" s="19" t="n">
        <f aca="false">$B$57-$B$11</f>
        <v>0</v>
      </c>
      <c r="C58" s="16" t="s">
        <v>140</v>
      </c>
      <c r="D58" s="20" t="n">
        <v>0</v>
      </c>
      <c r="E58" s="21" t="str">
        <f aca="false">IF(ABS(B58-D58)&lt;=0.5,"OK","DIVERSO")</f>
        <v>OK</v>
      </c>
      <c r="F58" s="16" t="s">
        <v>194</v>
      </c>
    </row>
  </sheetData>
  <mergeCells count="14">
    <mergeCell ref="A1:F1"/>
    <mergeCell ref="A4:F4"/>
    <mergeCell ref="A6:F6"/>
    <mergeCell ref="A7:F7"/>
    <mergeCell ref="A15:F15"/>
    <mergeCell ref="A16:F16"/>
    <mergeCell ref="A29:F29"/>
    <mergeCell ref="A30:F30"/>
    <mergeCell ref="A35:F35"/>
    <mergeCell ref="A36:F36"/>
    <mergeCell ref="A44:F44"/>
    <mergeCell ref="A45:F45"/>
    <mergeCell ref="A53:F53"/>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22</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230</v>
      </c>
      <c r="B4" s="5"/>
      <c r="C4" s="5"/>
      <c r="D4" s="5"/>
      <c r="E4" s="5"/>
      <c r="F4" s="5"/>
    </row>
    <row r="5" customFormat="false" ht="15" hidden="false" customHeight="true" outlineLevel="0" collapsed="false"/>
    <row r="6" customFormat="false" ht="15" hidden="false" customHeight="true" outlineLevel="0" collapsed="false">
      <c r="A6" s="13" t="s">
        <v>231</v>
      </c>
      <c r="B6" s="13"/>
      <c r="C6" s="13"/>
      <c r="D6" s="13"/>
      <c r="E6" s="13"/>
      <c r="F6" s="13"/>
    </row>
    <row r="7" customFormat="false" ht="15" hidden="false" customHeight="true" outlineLevel="0" collapsed="false">
      <c r="A7" s="22" t="s">
        <v>232</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233</v>
      </c>
      <c r="B9" s="15" t="n">
        <v>1000</v>
      </c>
      <c r="C9" s="16" t="s">
        <v>123</v>
      </c>
      <c r="D9" s="17"/>
      <c r="E9" s="17"/>
      <c r="F9" s="16" t="s">
        <v>234</v>
      </c>
    </row>
    <row r="10" customFormat="false" ht="15" hidden="false" customHeight="true" outlineLevel="0" collapsed="false">
      <c r="A10" s="14" t="s">
        <v>235</v>
      </c>
      <c r="B10" s="15" t="n">
        <v>600</v>
      </c>
      <c r="C10" s="16" t="s">
        <v>123</v>
      </c>
      <c r="D10" s="17"/>
      <c r="E10" s="17"/>
      <c r="F10" s="16" t="s">
        <v>234</v>
      </c>
    </row>
    <row r="11" customFormat="false" ht="15" hidden="false" customHeight="true" outlineLevel="0" collapsed="false">
      <c r="A11" s="14" t="s">
        <v>236</v>
      </c>
      <c r="B11" s="15" t="n">
        <v>8</v>
      </c>
      <c r="C11" s="16" t="s">
        <v>237</v>
      </c>
      <c r="D11" s="17"/>
      <c r="E11" s="17"/>
      <c r="F11" s="16" t="s">
        <v>234</v>
      </c>
    </row>
    <row r="12" customFormat="false" ht="15" hidden="false" customHeight="true" outlineLevel="0" collapsed="false">
      <c r="A12" s="14" t="s">
        <v>238</v>
      </c>
      <c r="B12" s="19" t="n">
        <f aca="false">$B$10*$B$11</f>
        <v>4800</v>
      </c>
      <c r="C12" s="16" t="s">
        <v>140</v>
      </c>
      <c r="D12" s="20" t="n">
        <v>4800</v>
      </c>
      <c r="E12" s="21" t="str">
        <f aca="false">IF(ABS(B12-D12)&lt;=0.5,"OK","DIVERSO")</f>
        <v>OK</v>
      </c>
      <c r="F12" s="16" t="s">
        <v>234</v>
      </c>
    </row>
    <row r="13" customFormat="false" ht="15" hidden="false" customHeight="true" outlineLevel="0" collapsed="false">
      <c r="A13" s="14" t="s">
        <v>239</v>
      </c>
      <c r="B13" s="19" t="n">
        <f aca="false">($B$9-$B$10)*$B$11</f>
        <v>3200</v>
      </c>
      <c r="C13" s="16" t="s">
        <v>140</v>
      </c>
      <c r="D13" s="20" t="n">
        <v>3200</v>
      </c>
      <c r="E13" s="21" t="str">
        <f aca="false">IF(ABS(B13-D13)&lt;=0.5,"OK","DIVERSO")</f>
        <v>OK</v>
      </c>
      <c r="F13" s="16" t="s">
        <v>234</v>
      </c>
    </row>
    <row r="14" customFormat="false" ht="15" hidden="false" customHeight="true" outlineLevel="0" collapsed="false"/>
    <row r="15" customFormat="false" ht="15" hidden="false" customHeight="true" outlineLevel="0" collapsed="false">
      <c r="A15" s="13" t="s">
        <v>240</v>
      </c>
      <c r="B15" s="13"/>
      <c r="C15" s="13"/>
      <c r="D15" s="13"/>
      <c r="E15" s="13"/>
      <c r="F15" s="13"/>
    </row>
    <row r="16" customFormat="false" ht="15" hidden="false" customHeight="true" outlineLevel="0" collapsed="false">
      <c r="A16" s="22" t="s">
        <v>241</v>
      </c>
      <c r="B16" s="22"/>
      <c r="C16" s="22"/>
      <c r="D16" s="22"/>
      <c r="E16" s="22"/>
      <c r="F16" s="22"/>
    </row>
    <row r="17" customFormat="false" ht="15" hidden="false" customHeight="true" outlineLevel="0" collapsed="false">
      <c r="A17" s="6" t="s">
        <v>116</v>
      </c>
      <c r="B17" s="6" t="s">
        <v>117</v>
      </c>
      <c r="C17" s="6" t="s">
        <v>118</v>
      </c>
      <c r="D17" s="6" t="s">
        <v>119</v>
      </c>
      <c r="E17" s="6" t="s">
        <v>120</v>
      </c>
      <c r="F17" s="6" t="s">
        <v>121</v>
      </c>
    </row>
    <row r="18" customFormat="false" ht="15" hidden="false" customHeight="true" outlineLevel="0" collapsed="false">
      <c r="A18" s="14" t="s">
        <v>242</v>
      </c>
      <c r="B18" s="15" t="n">
        <v>500000</v>
      </c>
      <c r="C18" s="16" t="s">
        <v>140</v>
      </c>
      <c r="D18" s="17"/>
      <c r="E18" s="17"/>
      <c r="F18" s="16" t="s">
        <v>234</v>
      </c>
    </row>
    <row r="19" customFormat="false" ht="15" hidden="false" customHeight="true" outlineLevel="0" collapsed="false">
      <c r="A19" s="14" t="s">
        <v>243</v>
      </c>
      <c r="B19" s="15" t="n">
        <v>600000</v>
      </c>
      <c r="C19" s="16" t="s">
        <v>140</v>
      </c>
      <c r="D19" s="17"/>
      <c r="E19" s="17"/>
      <c r="F19" s="16" t="s">
        <v>234</v>
      </c>
    </row>
    <row r="20" customFormat="false" ht="15" hidden="false" customHeight="true" outlineLevel="0" collapsed="false">
      <c r="A20" s="14" t="s">
        <v>244</v>
      </c>
      <c r="B20" s="19" t="n">
        <f aca="false">$B$19-$B$18</f>
        <v>100000</v>
      </c>
      <c r="C20" s="16" t="s">
        <v>140</v>
      </c>
      <c r="D20" s="20" t="n">
        <v>100000</v>
      </c>
      <c r="E20" s="21" t="str">
        <f aca="false">IF(ABS(B20-D20)&lt;=0.5,"OK","DIVERSO")</f>
        <v>OK</v>
      </c>
      <c r="F20" s="16" t="s">
        <v>234</v>
      </c>
    </row>
    <row r="21" customFormat="false" ht="15" hidden="false" customHeight="true" outlineLevel="0" collapsed="false"/>
    <row r="22" customFormat="false" ht="15" hidden="false" customHeight="true" outlineLevel="0" collapsed="false">
      <c r="A22" s="13" t="s">
        <v>245</v>
      </c>
      <c r="B22" s="13"/>
      <c r="C22" s="13"/>
      <c r="D22" s="13"/>
      <c r="E22" s="13"/>
      <c r="F22" s="13"/>
    </row>
    <row r="23" customFormat="false" ht="15" hidden="false" customHeight="true" outlineLevel="0" collapsed="false">
      <c r="A23" s="22" t="s">
        <v>246</v>
      </c>
      <c r="B23" s="22"/>
      <c r="C23" s="22"/>
      <c r="D23" s="22"/>
      <c r="E23" s="22"/>
      <c r="F23" s="22"/>
    </row>
    <row r="24" customFormat="false" ht="15" hidden="false" customHeight="true" outlineLevel="0" collapsed="false">
      <c r="A24" s="6" t="s">
        <v>116</v>
      </c>
      <c r="B24" s="6" t="s">
        <v>117</v>
      </c>
      <c r="C24" s="6" t="s">
        <v>118</v>
      </c>
      <c r="D24" s="6" t="s">
        <v>119</v>
      </c>
      <c r="E24" s="6" t="s">
        <v>120</v>
      </c>
      <c r="F24" s="6" t="s">
        <v>121</v>
      </c>
    </row>
    <row r="25" customFormat="false" ht="15" hidden="false" customHeight="true" outlineLevel="0" collapsed="false">
      <c r="A25" s="14" t="s">
        <v>247</v>
      </c>
      <c r="B25" s="15" t="n">
        <v>4</v>
      </c>
      <c r="C25" s="16" t="s">
        <v>126</v>
      </c>
      <c r="D25" s="17"/>
      <c r="E25" s="17"/>
      <c r="F25" s="16" t="s">
        <v>234</v>
      </c>
    </row>
    <row r="26" customFormat="false" ht="15" hidden="false" customHeight="true" outlineLevel="0" collapsed="false">
      <c r="A26" s="14" t="s">
        <v>248</v>
      </c>
      <c r="B26" s="15" t="n">
        <v>1000</v>
      </c>
      <c r="C26" s="16" t="s">
        <v>123</v>
      </c>
      <c r="D26" s="17"/>
      <c r="E26" s="17"/>
      <c r="F26" s="16" t="s">
        <v>234</v>
      </c>
    </row>
    <row r="27" customFormat="false" ht="15" hidden="false" customHeight="true" outlineLevel="0" collapsed="false">
      <c r="A27" s="14" t="s">
        <v>249</v>
      </c>
      <c r="B27" s="15" t="n">
        <v>1500</v>
      </c>
      <c r="C27" s="16" t="s">
        <v>123</v>
      </c>
      <c r="D27" s="17"/>
      <c r="E27" s="17"/>
      <c r="F27" s="16" t="s">
        <v>234</v>
      </c>
    </row>
    <row r="28" customFormat="false" ht="15" hidden="false" customHeight="true" outlineLevel="0" collapsed="false">
      <c r="A28" s="14" t="s">
        <v>250</v>
      </c>
      <c r="B28" s="19" t="n">
        <f aca="false">$B$25*$B$26</f>
        <v>4000</v>
      </c>
      <c r="C28" s="16" t="s">
        <v>140</v>
      </c>
      <c r="D28" s="20" t="n">
        <v>4000</v>
      </c>
      <c r="E28" s="21" t="str">
        <f aca="false">IF(ABS(B28-D28)&lt;=0.5,"OK","DIVERSO")</f>
        <v>OK</v>
      </c>
      <c r="F28" s="16" t="s">
        <v>234</v>
      </c>
    </row>
    <row r="29" customFormat="false" ht="15" hidden="false" customHeight="true" outlineLevel="0" collapsed="false">
      <c r="A29" s="14" t="s">
        <v>251</v>
      </c>
      <c r="B29" s="19" t="n">
        <f aca="false">$B$25*$B$27</f>
        <v>6000</v>
      </c>
      <c r="C29" s="16" t="s">
        <v>140</v>
      </c>
      <c r="D29" s="20" t="n">
        <v>6000</v>
      </c>
      <c r="E29" s="21" t="str">
        <f aca="false">IF(ABS(B29-D29)&lt;=0.5,"OK","DIVERSO")</f>
        <v>OK</v>
      </c>
      <c r="F29" s="16" t="s">
        <v>234</v>
      </c>
    </row>
    <row r="30" customFormat="false" ht="15" hidden="false" customHeight="true" outlineLevel="0" collapsed="false">
      <c r="A30" s="14" t="s">
        <v>252</v>
      </c>
      <c r="B30" s="15" t="n">
        <v>10000</v>
      </c>
      <c r="C30" s="16" t="s">
        <v>140</v>
      </c>
      <c r="D30" s="17"/>
      <c r="E30" s="17"/>
      <c r="F30" s="16" t="s">
        <v>234</v>
      </c>
    </row>
    <row r="31" customFormat="false" ht="15" hidden="false" customHeight="true" outlineLevel="0" collapsed="false">
      <c r="A31" s="14" t="s">
        <v>253</v>
      </c>
      <c r="B31" s="23" t="n">
        <f aca="false">$B$30/$B$26</f>
        <v>10</v>
      </c>
      <c r="C31" s="16" t="s">
        <v>126</v>
      </c>
      <c r="D31" s="24" t="n">
        <v>10</v>
      </c>
      <c r="E31" s="21" t="str">
        <f aca="false">IF(ABS(B31-D31)&lt;=0.005,"OK","DIVERSO")</f>
        <v>OK</v>
      </c>
      <c r="F31" s="16" t="s">
        <v>234</v>
      </c>
    </row>
    <row r="32" customFormat="false" ht="15" hidden="false" customHeight="true" outlineLevel="0" collapsed="false">
      <c r="A32" s="14" t="s">
        <v>254</v>
      </c>
      <c r="B32" s="23" t="n">
        <f aca="false">$B$30/$B$27</f>
        <v>6.66666666666667</v>
      </c>
      <c r="C32" s="16" t="s">
        <v>126</v>
      </c>
      <c r="D32" s="24" t="n">
        <v>6.67</v>
      </c>
      <c r="E32" s="21" t="str">
        <f aca="false">IF(ABS(B32-D32)&lt;=0.005,"OK","DIVERSO")</f>
        <v>OK</v>
      </c>
      <c r="F32" s="16" t="s">
        <v>234</v>
      </c>
    </row>
    <row r="33" customFormat="false" ht="15" hidden="false" customHeight="true" outlineLevel="0" collapsed="false"/>
    <row r="34" customFormat="false" ht="15" hidden="false" customHeight="true" outlineLevel="0" collapsed="false">
      <c r="A34" s="13" t="s">
        <v>255</v>
      </c>
      <c r="B34" s="13"/>
      <c r="C34" s="13"/>
      <c r="D34" s="13"/>
      <c r="E34" s="13"/>
      <c r="F34" s="13"/>
    </row>
    <row r="35" customFormat="false" ht="15" hidden="false" customHeight="true" outlineLevel="0" collapsed="false">
      <c r="A35" s="22" t="s">
        <v>256</v>
      </c>
      <c r="B35" s="22"/>
      <c r="C35" s="22"/>
      <c r="D35" s="22"/>
      <c r="E35" s="22"/>
      <c r="F35" s="22"/>
    </row>
    <row r="36" customFormat="false" ht="15" hidden="false" customHeight="true" outlineLevel="0" collapsed="false">
      <c r="A36" s="6" t="s">
        <v>116</v>
      </c>
      <c r="B36" s="6" t="s">
        <v>117</v>
      </c>
      <c r="C36" s="6" t="s">
        <v>118</v>
      </c>
      <c r="D36" s="6" t="s">
        <v>119</v>
      </c>
      <c r="E36" s="6" t="s">
        <v>120</v>
      </c>
      <c r="F36" s="6" t="s">
        <v>121</v>
      </c>
    </row>
    <row r="37" customFormat="false" ht="15" hidden="false" customHeight="true" outlineLevel="0" collapsed="false">
      <c r="A37" s="14" t="s">
        <v>257</v>
      </c>
      <c r="B37" s="19" t="n">
        <f aca="false">Cap_02!$B$11/Impresa_guida!$B$27</f>
        <v>3000</v>
      </c>
      <c r="C37" s="16" t="s">
        <v>144</v>
      </c>
      <c r="D37" s="20" t="n">
        <v>3000</v>
      </c>
      <c r="E37" s="21" t="str">
        <f aca="false">IF(ABS(B37-D37)&lt;=0.5,"OK","DIVERSO")</f>
        <v>OK</v>
      </c>
      <c r="F37" s="16" t="s">
        <v>234</v>
      </c>
    </row>
    <row r="38" customFormat="false" ht="15" hidden="false" customHeight="true" outlineLevel="0" collapsed="false">
      <c r="A38" s="14" t="s">
        <v>258</v>
      </c>
      <c r="B38" s="19" t="n">
        <f aca="false">Impresa_guida!$B$37-Impresa_guida!$B$26</f>
        <v>3000</v>
      </c>
      <c r="C38" s="16" t="s">
        <v>144</v>
      </c>
      <c r="D38" s="20" t="n">
        <v>3000</v>
      </c>
      <c r="E38" s="21" t="str">
        <f aca="false">IF(ABS(B38-D38)&lt;=0.5,"OK","DIVERSO")</f>
        <v>OK</v>
      </c>
      <c r="F38" s="16" t="s">
        <v>234</v>
      </c>
    </row>
    <row r="39" customFormat="false" ht="15" hidden="false" customHeight="true" outlineLevel="0" collapsed="false">
      <c r="A39" s="14" t="s">
        <v>259</v>
      </c>
      <c r="B39" s="19" t="n">
        <f aca="false">$B$37-$B$38</f>
        <v>0</v>
      </c>
      <c r="C39" s="16" t="s">
        <v>144</v>
      </c>
      <c r="D39" s="20" t="n">
        <v>0</v>
      </c>
      <c r="E39" s="21" t="str">
        <f aca="false">IF(ABS(B39-D39)&lt;=0.5,"OK","DIVERSO")</f>
        <v>OK</v>
      </c>
      <c r="F39" s="16" t="s">
        <v>234</v>
      </c>
    </row>
    <row r="40" customFormat="false" ht="15" hidden="false" customHeight="true" outlineLevel="0" collapsed="false"/>
    <row r="41" customFormat="false" ht="15" hidden="false" customHeight="true" outlineLevel="0" collapsed="false">
      <c r="A41" s="13" t="s">
        <v>260</v>
      </c>
      <c r="B41" s="13"/>
      <c r="C41" s="13"/>
      <c r="D41" s="13"/>
      <c r="E41" s="13"/>
      <c r="F41" s="13"/>
    </row>
    <row r="42" customFormat="false" ht="15" hidden="false" customHeight="true" outlineLevel="0" collapsed="false">
      <c r="A42" s="22" t="s">
        <v>261</v>
      </c>
      <c r="B42" s="22"/>
      <c r="C42" s="22"/>
      <c r="D42" s="22"/>
      <c r="E42" s="22"/>
      <c r="F42" s="22"/>
    </row>
    <row r="43" customFormat="false" ht="15" hidden="false" customHeight="true" outlineLevel="0" collapsed="false">
      <c r="A43" s="6" t="s">
        <v>116</v>
      </c>
      <c r="B43" s="6" t="s">
        <v>117</v>
      </c>
      <c r="C43" s="6" t="s">
        <v>118</v>
      </c>
      <c r="D43" s="6" t="s">
        <v>119</v>
      </c>
      <c r="E43" s="6" t="s">
        <v>120</v>
      </c>
      <c r="F43" s="6" t="s">
        <v>121</v>
      </c>
    </row>
    <row r="44" customFormat="false" ht="15" hidden="false" customHeight="true" outlineLevel="0" collapsed="false">
      <c r="A44" s="14" t="s">
        <v>262</v>
      </c>
      <c r="B44" s="19" t="n">
        <f aca="false">Cap_02!$B$11+Cap_02!$B$22+Cap_02!$B$25</f>
        <v>254000</v>
      </c>
      <c r="C44" s="16" t="s">
        <v>140</v>
      </c>
      <c r="D44" s="20" t="n">
        <v>254000</v>
      </c>
      <c r="E44" s="21" t="str">
        <f aca="false">IF(ABS(B44-D44)&lt;=0.5,"OK","DIVERSO")</f>
        <v>OK</v>
      </c>
      <c r="F44" s="16" t="s">
        <v>234</v>
      </c>
    </row>
    <row r="45" customFormat="false" ht="15" hidden="false" customHeight="true" outlineLevel="0" collapsed="false">
      <c r="A45" s="14" t="s">
        <v>263</v>
      </c>
      <c r="B45" s="19" t="n">
        <f aca="false">Cap_02!$B$11</f>
        <v>84000</v>
      </c>
      <c r="C45" s="16" t="s">
        <v>140</v>
      </c>
      <c r="D45" s="20" t="n">
        <v>84000</v>
      </c>
      <c r="E45" s="21" t="str">
        <f aca="false">IF(ABS(B45-D45)&lt;=0.5,"OK","DIVERSO")</f>
        <v>OK</v>
      </c>
      <c r="F45" s="16" t="s">
        <v>234</v>
      </c>
    </row>
    <row r="46" customFormat="false" ht="15" hidden="false" customHeight="true" outlineLevel="0" collapsed="false">
      <c r="A46" s="14" t="s">
        <v>264</v>
      </c>
      <c r="B46" s="19" t="n">
        <f aca="false">Cap_02!$B$9+Cap_02!$B$18+Cap_02!$B$21+Cap_02!$B$24</f>
        <v>392000</v>
      </c>
      <c r="C46" s="16" t="s">
        <v>140</v>
      </c>
      <c r="D46" s="20" t="n">
        <v>392000</v>
      </c>
      <c r="E46" s="21" t="str">
        <f aca="false">IF(ABS(B46-D46)&lt;=0.5,"OK","DIVERSO")</f>
        <v>OK</v>
      </c>
      <c r="F46" s="16" t="s">
        <v>234</v>
      </c>
    </row>
    <row r="47" customFormat="false" ht="15" hidden="false" customHeight="true" outlineLevel="0" collapsed="false">
      <c r="A47" s="14" t="s">
        <v>265</v>
      </c>
      <c r="B47" s="19" t="n">
        <f aca="false">Cap_02!$B$10+Cap_02!$B$19+Cap_02!$B$32</f>
        <v>174000</v>
      </c>
      <c r="C47" s="16" t="s">
        <v>140</v>
      </c>
      <c r="D47" s="20" t="n">
        <v>174000</v>
      </c>
      <c r="E47" s="21" t="str">
        <f aca="false">IF(ABS(B47-D47)&lt;=0.5,"OK","DIVERSO")</f>
        <v>OK</v>
      </c>
      <c r="F47" s="16" t="s">
        <v>234</v>
      </c>
    </row>
    <row r="48" customFormat="false" ht="15" hidden="false" customHeight="true" outlineLevel="0" collapsed="false">
      <c r="A48" s="14" t="s">
        <v>266</v>
      </c>
      <c r="B48" s="19" t="n">
        <f aca="false">$B$44+$B$46+$B$47</f>
        <v>820000</v>
      </c>
      <c r="C48" s="16" t="s">
        <v>140</v>
      </c>
      <c r="D48" s="20" t="n">
        <v>820000</v>
      </c>
      <c r="E48" s="21" t="str">
        <f aca="false">IF(ABS(B48-D48)&lt;=0.5,"OK","DIVERSO")</f>
        <v>OK</v>
      </c>
      <c r="F48" s="16" t="s">
        <v>234</v>
      </c>
    </row>
  </sheetData>
  <mergeCells count="12">
    <mergeCell ref="A1:F1"/>
    <mergeCell ref="A4:F4"/>
    <mergeCell ref="A6:F6"/>
    <mergeCell ref="A7:F7"/>
    <mergeCell ref="A15:F15"/>
    <mergeCell ref="A16:F16"/>
    <mergeCell ref="A22:F22"/>
    <mergeCell ref="A23:F23"/>
    <mergeCell ref="A34:F34"/>
    <mergeCell ref="A35:F35"/>
    <mergeCell ref="A41:F41"/>
    <mergeCell ref="A42:F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25</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267</v>
      </c>
      <c r="B4" s="5"/>
      <c r="C4" s="5"/>
      <c r="D4" s="5"/>
      <c r="E4" s="5"/>
      <c r="F4" s="5"/>
    </row>
    <row r="5" customFormat="false" ht="15" hidden="false" customHeight="true" outlineLevel="0" collapsed="false"/>
    <row r="6" customFormat="false" ht="15" hidden="false" customHeight="true" outlineLevel="0" collapsed="false">
      <c r="A6" s="13" t="s">
        <v>268</v>
      </c>
      <c r="B6" s="13"/>
      <c r="C6" s="13"/>
      <c r="D6" s="13"/>
      <c r="E6" s="13"/>
      <c r="F6" s="13"/>
    </row>
    <row r="7" customFormat="false" ht="15" hidden="false" customHeight="true" outlineLevel="0" collapsed="false">
      <c r="A7" s="22" t="s">
        <v>269</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247</v>
      </c>
      <c r="B9" s="15" t="n">
        <v>6</v>
      </c>
      <c r="C9" s="16" t="s">
        <v>126</v>
      </c>
      <c r="D9" s="17"/>
      <c r="E9" s="17"/>
      <c r="F9" s="16" t="s">
        <v>270</v>
      </c>
    </row>
    <row r="10" customFormat="false" ht="15" hidden="false" customHeight="true" outlineLevel="0" collapsed="false">
      <c r="A10" s="14" t="s">
        <v>271</v>
      </c>
      <c r="B10" s="15" t="n">
        <v>1000</v>
      </c>
      <c r="C10" s="16" t="s">
        <v>123</v>
      </c>
      <c r="D10" s="17"/>
      <c r="E10" s="17"/>
      <c r="F10" s="16" t="s">
        <v>270</v>
      </c>
    </row>
    <row r="11" customFormat="false" ht="15" hidden="false" customHeight="true" outlineLevel="0" collapsed="false">
      <c r="A11" s="14" t="s">
        <v>272</v>
      </c>
      <c r="B11" s="15" t="n">
        <v>1500</v>
      </c>
      <c r="C11" s="16" t="s">
        <v>123</v>
      </c>
      <c r="D11" s="17"/>
      <c r="E11" s="17"/>
      <c r="F11" s="16" t="s">
        <v>270</v>
      </c>
    </row>
    <row r="12" customFormat="false" ht="15" hidden="false" customHeight="true" outlineLevel="0" collapsed="false">
      <c r="A12" s="14" t="s">
        <v>273</v>
      </c>
      <c r="B12" s="15" t="n">
        <v>2000</v>
      </c>
      <c r="C12" s="16" t="s">
        <v>123</v>
      </c>
      <c r="D12" s="17"/>
      <c r="E12" s="17"/>
      <c r="F12" s="16" t="s">
        <v>270</v>
      </c>
    </row>
    <row r="13" customFormat="false" ht="15" hidden="false" customHeight="true" outlineLevel="0" collapsed="false">
      <c r="A13" s="14" t="s">
        <v>274</v>
      </c>
      <c r="B13" s="19" t="n">
        <f aca="false">$B$9*$B$10</f>
        <v>6000</v>
      </c>
      <c r="C13" s="16" t="s">
        <v>140</v>
      </c>
      <c r="D13" s="20" t="n">
        <v>6000</v>
      </c>
      <c r="E13" s="21" t="str">
        <f aca="false">IF(ABS(B13-D13)&lt;=0.5,"OK","DIVERSO")</f>
        <v>OK</v>
      </c>
      <c r="F13" s="16" t="s">
        <v>270</v>
      </c>
    </row>
    <row r="14" customFormat="false" ht="15" hidden="false" customHeight="true" outlineLevel="0" collapsed="false">
      <c r="A14" s="14" t="s">
        <v>275</v>
      </c>
      <c r="B14" s="19" t="n">
        <f aca="false">$B$9*$B$11</f>
        <v>9000</v>
      </c>
      <c r="C14" s="16" t="s">
        <v>140</v>
      </c>
      <c r="D14" s="20" t="n">
        <v>9000</v>
      </c>
      <c r="E14" s="21" t="str">
        <f aca="false">IF(ABS(B14-D14)&lt;=0.5,"OK","DIVERSO")</f>
        <v>OK</v>
      </c>
      <c r="F14" s="16" t="s">
        <v>270</v>
      </c>
    </row>
    <row r="15" customFormat="false" ht="15" hidden="false" customHeight="true" outlineLevel="0" collapsed="false">
      <c r="A15" s="14" t="s">
        <v>276</v>
      </c>
      <c r="B15" s="19" t="n">
        <f aca="false">$B$9*$B$12</f>
        <v>12000</v>
      </c>
      <c r="C15" s="16" t="s">
        <v>140</v>
      </c>
      <c r="D15" s="20" t="n">
        <v>12000</v>
      </c>
      <c r="E15" s="21" t="str">
        <f aca="false">IF(ABS(B15-D15)&lt;=0.5,"OK","DIVERSO")</f>
        <v>OK</v>
      </c>
      <c r="F15" s="16" t="s">
        <v>270</v>
      </c>
    </row>
    <row r="16" customFormat="false" ht="15" hidden="false" customHeight="true" outlineLevel="0" collapsed="false"/>
    <row r="17" customFormat="false" ht="15" hidden="false" customHeight="true" outlineLevel="0" collapsed="false">
      <c r="A17" s="13" t="s">
        <v>277</v>
      </c>
      <c r="B17" s="13"/>
      <c r="C17" s="13"/>
      <c r="D17" s="13"/>
      <c r="E17" s="13"/>
      <c r="F17" s="13"/>
    </row>
    <row r="18" customFormat="false" ht="15" hidden="false" customHeight="true" outlineLevel="0" collapsed="false">
      <c r="A18" s="22" t="s">
        <v>278</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252</v>
      </c>
      <c r="B20" s="15" t="n">
        <v>12000</v>
      </c>
      <c r="C20" s="16" t="s">
        <v>140</v>
      </c>
      <c r="D20" s="17"/>
      <c r="E20" s="17"/>
      <c r="F20" s="16" t="s">
        <v>270</v>
      </c>
    </row>
    <row r="21" customFormat="false" ht="15" hidden="false" customHeight="true" outlineLevel="0" collapsed="false">
      <c r="A21" s="14" t="s">
        <v>279</v>
      </c>
      <c r="B21" s="23" t="n">
        <f aca="false">$B$20/$B$10</f>
        <v>12</v>
      </c>
      <c r="C21" s="16" t="s">
        <v>126</v>
      </c>
      <c r="D21" s="24" t="n">
        <v>12</v>
      </c>
      <c r="E21" s="21" t="str">
        <f aca="false">IF(ABS(B21-D21)&lt;=0.005,"OK","DIVERSO")</f>
        <v>OK</v>
      </c>
      <c r="F21" s="16" t="s">
        <v>270</v>
      </c>
    </row>
    <row r="22" customFormat="false" ht="15" hidden="false" customHeight="true" outlineLevel="0" collapsed="false">
      <c r="A22" s="14" t="s">
        <v>280</v>
      </c>
      <c r="B22" s="23" t="n">
        <f aca="false">$B$20/$B$11</f>
        <v>8</v>
      </c>
      <c r="C22" s="16" t="s">
        <v>126</v>
      </c>
      <c r="D22" s="24" t="n">
        <v>8</v>
      </c>
      <c r="E22" s="21" t="str">
        <f aca="false">IF(ABS(B22-D22)&lt;=0.005,"OK","DIVERSO")</f>
        <v>OK</v>
      </c>
      <c r="F22" s="16" t="s">
        <v>270</v>
      </c>
    </row>
    <row r="23" customFormat="false" ht="15" hidden="false" customHeight="true" outlineLevel="0" collapsed="false">
      <c r="A23" s="14" t="s">
        <v>281</v>
      </c>
      <c r="B23" s="23" t="n">
        <f aca="false">$B$20/$B$12</f>
        <v>6</v>
      </c>
      <c r="C23" s="16" t="s">
        <v>126</v>
      </c>
      <c r="D23" s="24" t="n">
        <v>6</v>
      </c>
      <c r="E23" s="21" t="str">
        <f aca="false">IF(ABS(B23-D23)&lt;=0.005,"OK","DIVERSO")</f>
        <v>OK</v>
      </c>
      <c r="F23" s="16" t="s">
        <v>270</v>
      </c>
    </row>
    <row r="24" customFormat="false" ht="15" hidden="false" customHeight="true" outlineLevel="0" collapsed="false"/>
    <row r="25" customFormat="false" ht="15" hidden="false" customHeight="true" outlineLevel="0" collapsed="false">
      <c r="A25" s="13" t="s">
        <v>282</v>
      </c>
      <c r="B25" s="13"/>
      <c r="C25" s="13"/>
      <c r="D25" s="13"/>
      <c r="E25" s="13"/>
      <c r="F25" s="13"/>
    </row>
    <row r="26" customFormat="false" ht="15" hidden="false" customHeight="true" outlineLevel="0" collapsed="false">
      <c r="A26" s="22" t="s">
        <v>283</v>
      </c>
      <c r="B26" s="22"/>
      <c r="C26" s="22"/>
      <c r="D26" s="22"/>
      <c r="E26" s="22"/>
      <c r="F26" s="22"/>
    </row>
    <row r="27" customFormat="false" ht="15" hidden="false" customHeight="true" outlineLevel="0" collapsed="false">
      <c r="A27" s="6" t="s">
        <v>116</v>
      </c>
      <c r="B27" s="6" t="s">
        <v>117</v>
      </c>
      <c r="C27" s="6" t="s">
        <v>118</v>
      </c>
      <c r="D27" s="6" t="s">
        <v>119</v>
      </c>
      <c r="E27" s="6" t="s">
        <v>120</v>
      </c>
      <c r="F27" s="6" t="s">
        <v>121</v>
      </c>
    </row>
    <row r="28" customFormat="false" ht="15" hidden="false" customHeight="true" outlineLevel="0" collapsed="false">
      <c r="A28" s="14" t="s">
        <v>284</v>
      </c>
      <c r="B28" s="15" t="n">
        <v>120000</v>
      </c>
      <c r="C28" s="16" t="s">
        <v>140</v>
      </c>
      <c r="D28" s="17"/>
      <c r="E28" s="17"/>
      <c r="F28" s="16" t="s">
        <v>270</v>
      </c>
    </row>
    <row r="29" customFormat="false" ht="15" hidden="false" customHeight="true" outlineLevel="0" collapsed="false">
      <c r="A29" s="14" t="s">
        <v>285</v>
      </c>
      <c r="B29" s="15" t="n">
        <v>12000</v>
      </c>
      <c r="C29" s="16" t="s">
        <v>144</v>
      </c>
      <c r="D29" s="17"/>
      <c r="E29" s="17"/>
      <c r="F29" s="16" t="s">
        <v>270</v>
      </c>
    </row>
    <row r="30" customFormat="false" ht="15" hidden="false" customHeight="true" outlineLevel="0" collapsed="false">
      <c r="A30" s="14" t="s">
        <v>286</v>
      </c>
      <c r="B30" s="15" t="n">
        <v>9000</v>
      </c>
      <c r="C30" s="16" t="s">
        <v>144</v>
      </c>
      <c r="D30" s="17"/>
      <c r="E30" s="17"/>
      <c r="F30" s="16" t="s">
        <v>270</v>
      </c>
    </row>
    <row r="31" customFormat="false" ht="15" hidden="false" customHeight="true" outlineLevel="0" collapsed="false">
      <c r="A31" s="14" t="s">
        <v>287</v>
      </c>
      <c r="B31" s="23" t="n">
        <f aca="false">$B$28/$B$29</f>
        <v>10</v>
      </c>
      <c r="C31" s="16" t="s">
        <v>146</v>
      </c>
      <c r="D31" s="24" t="n">
        <v>10</v>
      </c>
      <c r="E31" s="21" t="str">
        <f aca="false">IF(ABS(B31-D31)&lt;=0.005,"OK","DIVERSO")</f>
        <v>OK</v>
      </c>
      <c r="F31" s="16" t="s">
        <v>270</v>
      </c>
    </row>
    <row r="32" customFormat="false" ht="15" hidden="false" customHeight="true" outlineLevel="0" collapsed="false">
      <c r="A32" s="14" t="s">
        <v>288</v>
      </c>
      <c r="B32" s="19" t="n">
        <f aca="false">($B$29-$B$30)*$B$31</f>
        <v>30000</v>
      </c>
      <c r="C32" s="16" t="s">
        <v>140</v>
      </c>
      <c r="D32" s="20" t="n">
        <v>30000</v>
      </c>
      <c r="E32" s="21" t="str">
        <f aca="false">IF(ABS(B32-D32)&lt;=0.5,"OK","DIVERSO")</f>
        <v>OK</v>
      </c>
      <c r="F32" s="16" t="s">
        <v>270</v>
      </c>
    </row>
    <row r="33" customFormat="false" ht="15" hidden="false" customHeight="true" outlineLevel="0" collapsed="false"/>
    <row r="34" customFormat="false" ht="15" hidden="false" customHeight="true" outlineLevel="0" collapsed="false">
      <c r="A34" s="13" t="s">
        <v>289</v>
      </c>
      <c r="B34" s="13"/>
      <c r="C34" s="13"/>
      <c r="D34" s="13"/>
      <c r="E34" s="13"/>
      <c r="F34" s="13"/>
    </row>
    <row r="35" customFormat="false" ht="15" hidden="false" customHeight="true" outlineLevel="0" collapsed="false">
      <c r="A35" s="22" t="s">
        <v>290</v>
      </c>
      <c r="B35" s="22"/>
      <c r="C35" s="22"/>
      <c r="D35" s="22"/>
      <c r="E35" s="22"/>
      <c r="F35" s="22"/>
    </row>
    <row r="36" customFormat="false" ht="15" hidden="false" customHeight="true" outlineLevel="0" collapsed="false">
      <c r="A36" s="6" t="s">
        <v>116</v>
      </c>
      <c r="B36" s="6" t="s">
        <v>117</v>
      </c>
      <c r="C36" s="6" t="s">
        <v>118</v>
      </c>
      <c r="D36" s="6" t="s">
        <v>119</v>
      </c>
      <c r="E36" s="6" t="s">
        <v>120</v>
      </c>
      <c r="F36" s="6" t="s">
        <v>121</v>
      </c>
    </row>
    <row r="37" customFormat="false" ht="15" hidden="false" customHeight="true" outlineLevel="0" collapsed="false">
      <c r="A37" s="14" t="s">
        <v>291</v>
      </c>
      <c r="B37" s="15" t="n">
        <v>8000</v>
      </c>
      <c r="C37" s="16" t="s">
        <v>144</v>
      </c>
      <c r="D37" s="17"/>
      <c r="E37" s="17"/>
      <c r="F37" s="16" t="s">
        <v>270</v>
      </c>
    </row>
    <row r="38" customFormat="false" ht="15" hidden="false" customHeight="true" outlineLevel="0" collapsed="false">
      <c r="A38" s="14" t="s">
        <v>292</v>
      </c>
      <c r="B38" s="15" t="n">
        <v>34000</v>
      </c>
      <c r="C38" s="16" t="s">
        <v>140</v>
      </c>
      <c r="D38" s="17"/>
      <c r="E38" s="17"/>
      <c r="F38" s="16" t="s">
        <v>270</v>
      </c>
    </row>
    <row r="39" customFormat="false" ht="15" hidden="false" customHeight="true" outlineLevel="0" collapsed="false">
      <c r="A39" s="14" t="s">
        <v>293</v>
      </c>
      <c r="B39" s="15" t="n">
        <v>4000</v>
      </c>
      <c r="C39" s="16" t="s">
        <v>144</v>
      </c>
      <c r="D39" s="17"/>
      <c r="E39" s="17"/>
      <c r="F39" s="16" t="s">
        <v>270</v>
      </c>
    </row>
    <row r="40" customFormat="false" ht="15" hidden="false" customHeight="true" outlineLevel="0" collapsed="false">
      <c r="A40" s="14" t="s">
        <v>294</v>
      </c>
      <c r="B40" s="15" t="n">
        <v>22000</v>
      </c>
      <c r="C40" s="16" t="s">
        <v>140</v>
      </c>
      <c r="D40" s="17"/>
      <c r="E40" s="17"/>
      <c r="F40" s="16" t="s">
        <v>270</v>
      </c>
    </row>
    <row r="41" customFormat="false" ht="15" hidden="false" customHeight="true" outlineLevel="0" collapsed="false">
      <c r="A41" s="14" t="s">
        <v>295</v>
      </c>
      <c r="B41" s="19" t="n">
        <f aca="false">$B$37-$B$39</f>
        <v>4000</v>
      </c>
      <c r="C41" s="16" t="s">
        <v>144</v>
      </c>
      <c r="D41" s="20" t="n">
        <v>4000</v>
      </c>
      <c r="E41" s="21" t="str">
        <f aca="false">IF(ABS(B41-D41)&lt;=0.5,"OK","DIVERSO")</f>
        <v>OK</v>
      </c>
      <c r="F41" s="16" t="s">
        <v>270</v>
      </c>
    </row>
    <row r="42" customFormat="false" ht="15" hidden="false" customHeight="true" outlineLevel="0" collapsed="false">
      <c r="A42" s="14" t="s">
        <v>296</v>
      </c>
      <c r="B42" s="19" t="n">
        <f aca="false">$B$38-$B$40</f>
        <v>12000</v>
      </c>
      <c r="C42" s="16" t="s">
        <v>140</v>
      </c>
      <c r="D42" s="20" t="n">
        <v>12000</v>
      </c>
      <c r="E42" s="21" t="str">
        <f aca="false">IF(ABS(B42-D42)&lt;=0.5,"OK","DIVERSO")</f>
        <v>OK</v>
      </c>
      <c r="F42" s="16" t="s">
        <v>270</v>
      </c>
    </row>
    <row r="43" customFormat="false" ht="15" hidden="false" customHeight="true" outlineLevel="0" collapsed="false">
      <c r="A43" s="14" t="s">
        <v>297</v>
      </c>
      <c r="B43" s="23" t="n">
        <f aca="false">$B$42/$B$41</f>
        <v>3</v>
      </c>
      <c r="C43" s="16" t="s">
        <v>146</v>
      </c>
      <c r="D43" s="24" t="n">
        <v>3</v>
      </c>
      <c r="E43" s="21" t="str">
        <f aca="false">IF(ABS(B43-D43)&lt;=0.005,"OK","DIVERSO")</f>
        <v>OK</v>
      </c>
      <c r="F43" s="16" t="s">
        <v>270</v>
      </c>
    </row>
    <row r="44" customFormat="false" ht="15" hidden="false" customHeight="true" outlineLevel="0" collapsed="false">
      <c r="A44" s="14" t="s">
        <v>298</v>
      </c>
      <c r="B44" s="19" t="n">
        <f aca="false">$B$38-$B$43*$B$37</f>
        <v>10000</v>
      </c>
      <c r="C44" s="16" t="s">
        <v>140</v>
      </c>
      <c r="D44" s="20" t="n">
        <v>10000</v>
      </c>
      <c r="E44" s="21" t="str">
        <f aca="false">IF(ABS(B44-D44)&lt;=0.5,"OK","DIVERSO")</f>
        <v>OK</v>
      </c>
      <c r="F44" s="16" t="s">
        <v>270</v>
      </c>
    </row>
    <row r="45" customFormat="false" ht="15" hidden="false" customHeight="true" outlineLevel="0" collapsed="false">
      <c r="A45" s="14" t="s">
        <v>299</v>
      </c>
      <c r="B45" s="19" t="n">
        <f aca="false">$B$44+$B$43*$B$39-$B$40</f>
        <v>0</v>
      </c>
      <c r="C45" s="16" t="s">
        <v>140</v>
      </c>
      <c r="D45" s="20" t="n">
        <v>0</v>
      </c>
      <c r="E45" s="21" t="str">
        <f aca="false">IF(ABS(B45-D45)&lt;=0.5,"OK","DIVERSO")</f>
        <v>OK</v>
      </c>
      <c r="F45" s="16" t="s">
        <v>270</v>
      </c>
    </row>
    <row r="46" customFormat="false" ht="15" hidden="false" customHeight="true" outlineLevel="0" collapsed="false"/>
    <row r="47" customFormat="false" ht="15" hidden="false" customHeight="true" outlineLevel="0" collapsed="false">
      <c r="A47" s="13" t="s">
        <v>300</v>
      </c>
      <c r="B47" s="13"/>
      <c r="C47" s="13"/>
      <c r="D47" s="13"/>
      <c r="E47" s="13"/>
      <c r="F47" s="13"/>
    </row>
    <row r="48" customFormat="false" ht="15" hidden="false" customHeight="true" outlineLevel="0" collapsed="false">
      <c r="A48" s="22" t="s">
        <v>301</v>
      </c>
      <c r="B48" s="22"/>
      <c r="C48" s="22"/>
      <c r="D48" s="22"/>
      <c r="E48" s="22"/>
      <c r="F48" s="22"/>
    </row>
    <row r="49" customFormat="false" ht="15" hidden="false" customHeight="true" outlineLevel="0" collapsed="false">
      <c r="A49" s="6" t="s">
        <v>116</v>
      </c>
      <c r="B49" s="6" t="s">
        <v>117</v>
      </c>
      <c r="C49" s="6" t="s">
        <v>118</v>
      </c>
      <c r="D49" s="6" t="s">
        <v>119</v>
      </c>
      <c r="E49" s="6" t="s">
        <v>120</v>
      </c>
      <c r="F49" s="6" t="s">
        <v>121</v>
      </c>
    </row>
    <row r="50" customFormat="false" ht="15" hidden="false" customHeight="true" outlineLevel="0" collapsed="false">
      <c r="A50" s="14" t="s">
        <v>302</v>
      </c>
      <c r="B50" s="15" t="n">
        <v>6000</v>
      </c>
      <c r="C50" s="16" t="s">
        <v>123</v>
      </c>
      <c r="D50" s="17"/>
      <c r="E50" s="17"/>
      <c r="F50" s="16" t="s">
        <v>270</v>
      </c>
    </row>
    <row r="51" customFormat="false" ht="15" hidden="false" customHeight="true" outlineLevel="0" collapsed="false">
      <c r="A51" s="14" t="s">
        <v>303</v>
      </c>
      <c r="B51" s="15" t="n">
        <v>14</v>
      </c>
      <c r="C51" s="16" t="s">
        <v>126</v>
      </c>
      <c r="D51" s="17"/>
      <c r="E51" s="17"/>
      <c r="F51" s="16" t="s">
        <v>270</v>
      </c>
    </row>
    <row r="52" customFormat="false" ht="15" hidden="false" customHeight="true" outlineLevel="0" collapsed="false">
      <c r="A52" s="14" t="s">
        <v>304</v>
      </c>
      <c r="B52" s="15" t="n">
        <v>70000</v>
      </c>
      <c r="C52" s="16" t="s">
        <v>140</v>
      </c>
      <c r="D52" s="17"/>
      <c r="E52" s="17"/>
      <c r="F52" s="16" t="s">
        <v>270</v>
      </c>
    </row>
    <row r="53" customFormat="false" ht="15" hidden="false" customHeight="true" outlineLevel="0" collapsed="false">
      <c r="A53" s="14" t="s">
        <v>305</v>
      </c>
      <c r="B53" s="15" t="n">
        <v>5000</v>
      </c>
      <c r="C53" s="16" t="s">
        <v>123</v>
      </c>
      <c r="D53" s="17"/>
      <c r="E53" s="17"/>
      <c r="F53" s="16" t="s">
        <v>270</v>
      </c>
    </row>
    <row r="54" customFormat="false" ht="15" hidden="false" customHeight="true" outlineLevel="0" collapsed="false">
      <c r="A54" s="14" t="s">
        <v>306</v>
      </c>
      <c r="B54" s="15" t="n">
        <v>8000</v>
      </c>
      <c r="C54" s="16" t="s">
        <v>140</v>
      </c>
      <c r="D54" s="17"/>
      <c r="E54" s="17"/>
      <c r="F54" s="16" t="s">
        <v>270</v>
      </c>
    </row>
    <row r="55" customFormat="false" ht="15" hidden="false" customHeight="true" outlineLevel="0" collapsed="false">
      <c r="A55" s="14" t="s">
        <v>166</v>
      </c>
      <c r="B55" s="19" t="n">
        <f aca="false">$B$50*$B$51</f>
        <v>84000</v>
      </c>
      <c r="C55" s="16" t="s">
        <v>140</v>
      </c>
      <c r="D55" s="20" t="n">
        <v>84000</v>
      </c>
      <c r="E55" s="21" t="str">
        <f aca="false">IF(ABS(B55-D55)&lt;=0.5,"OK","DIVERSO")</f>
        <v>OK</v>
      </c>
      <c r="F55" s="16" t="s">
        <v>270</v>
      </c>
    </row>
    <row r="56" customFormat="false" ht="15" hidden="false" customHeight="true" outlineLevel="0" collapsed="false">
      <c r="A56" s="14" t="s">
        <v>307</v>
      </c>
      <c r="B56" s="19" t="n">
        <f aca="false">IF($B$50&gt;$B$53,$B$54,0)</f>
        <v>8000</v>
      </c>
      <c r="C56" s="16" t="s">
        <v>140</v>
      </c>
      <c r="D56" s="20" t="n">
        <v>8000</v>
      </c>
      <c r="E56" s="21" t="str">
        <f aca="false">IF(ABS(B56-D56)&lt;=0.5,"OK","DIVERSO")</f>
        <v>OK</v>
      </c>
      <c r="F56" s="16" t="s">
        <v>270</v>
      </c>
    </row>
    <row r="57" customFormat="false" ht="15" hidden="false" customHeight="true" outlineLevel="0" collapsed="false">
      <c r="A57" s="14" t="s">
        <v>308</v>
      </c>
      <c r="B57" s="19" t="n">
        <f aca="false">$B$55+$B$52+$B$56</f>
        <v>162000</v>
      </c>
      <c r="C57" s="16" t="s">
        <v>140</v>
      </c>
      <c r="D57" s="20" t="n">
        <v>162000</v>
      </c>
      <c r="E57" s="21" t="str">
        <f aca="false">IF(ABS(B57-D57)&lt;=0.5,"OK","DIVERSO")</f>
        <v>OK</v>
      </c>
      <c r="F57" s="16" t="s">
        <v>270</v>
      </c>
    </row>
    <row r="58" customFormat="false" ht="15" hidden="false" customHeight="true" outlineLevel="0" collapsed="false"/>
    <row r="59" customFormat="false" ht="15" hidden="false" customHeight="true" outlineLevel="0" collapsed="false">
      <c r="A59" s="13" t="s">
        <v>309</v>
      </c>
      <c r="B59" s="13"/>
      <c r="C59" s="13"/>
      <c r="D59" s="13"/>
      <c r="E59" s="13"/>
      <c r="F59" s="13"/>
    </row>
    <row r="60" customFormat="false" ht="15" hidden="false" customHeight="true" outlineLevel="0" collapsed="false">
      <c r="A60" s="22" t="s">
        <v>310</v>
      </c>
      <c r="B60" s="22"/>
      <c r="C60" s="22"/>
      <c r="D60" s="22"/>
      <c r="E60" s="22"/>
      <c r="F60" s="22"/>
    </row>
    <row r="61" customFormat="false" ht="15" hidden="false" customHeight="true" outlineLevel="0" collapsed="false">
      <c r="A61" s="6" t="s">
        <v>116</v>
      </c>
      <c r="B61" s="6" t="s">
        <v>117</v>
      </c>
      <c r="C61" s="6" t="s">
        <v>118</v>
      </c>
      <c r="D61" s="6" t="s">
        <v>119</v>
      </c>
      <c r="E61" s="6" t="s">
        <v>120</v>
      </c>
      <c r="F61" s="6" t="s">
        <v>121</v>
      </c>
    </row>
    <row r="62" customFormat="false" ht="15" hidden="false" customHeight="true" outlineLevel="0" collapsed="false">
      <c r="A62" s="14" t="s">
        <v>311</v>
      </c>
      <c r="B62" s="19" t="n">
        <f aca="false">Impresa_guida!$B$35</f>
        <v>2324000</v>
      </c>
      <c r="C62" s="16" t="s">
        <v>140</v>
      </c>
      <c r="D62" s="20" t="n">
        <v>2324000</v>
      </c>
      <c r="E62" s="21" t="str">
        <f aca="false">IF(ABS(B62-D62)&lt;=0.5,"OK","DIVERSO")</f>
        <v>OK</v>
      </c>
      <c r="F62" s="16" t="s">
        <v>270</v>
      </c>
    </row>
    <row r="63" customFormat="false" ht="15" hidden="false" customHeight="true" outlineLevel="0" collapsed="false">
      <c r="A63" s="14" t="s">
        <v>312</v>
      </c>
      <c r="B63" s="19" t="n">
        <f aca="false">Impresa_guida!$B$41-Impresa_guida!$B$39</f>
        <v>736000</v>
      </c>
      <c r="C63" s="16" t="s">
        <v>140</v>
      </c>
      <c r="D63" s="20" t="n">
        <v>736000</v>
      </c>
      <c r="E63" s="21" t="str">
        <f aca="false">IF(ABS(B63-D63)&lt;=0.5,"OK","DIVERSO")</f>
        <v>OK</v>
      </c>
      <c r="F63" s="16" t="s">
        <v>270</v>
      </c>
    </row>
    <row r="64" customFormat="false" ht="15" hidden="false" customHeight="true" outlineLevel="0" collapsed="false">
      <c r="A64" s="14" t="s">
        <v>313</v>
      </c>
      <c r="B64" s="19" t="n">
        <f aca="false">MAX(Impresa_guida!$B$37-Impresa_guida!$B$26,0)*Impresa_guida!$B$27</f>
        <v>84000</v>
      </c>
      <c r="C64" s="16" t="s">
        <v>140</v>
      </c>
      <c r="D64" s="20" t="n">
        <v>84000</v>
      </c>
      <c r="E64" s="21" t="str">
        <f aca="false">IF(ABS(B64-D64)&lt;=0.5,"OK","DIVERSO")</f>
        <v>OK</v>
      </c>
      <c r="F64" s="16" t="s">
        <v>270</v>
      </c>
    </row>
    <row r="65" customFormat="false" ht="15" hidden="false" customHeight="true" outlineLevel="0" collapsed="false">
      <c r="A65" s="14" t="s">
        <v>314</v>
      </c>
      <c r="B65" s="19" t="n">
        <f aca="false">$B$63+$B$62+$B$64</f>
        <v>3144000</v>
      </c>
      <c r="C65" s="16" t="s">
        <v>140</v>
      </c>
      <c r="D65" s="20" t="n">
        <v>3144000</v>
      </c>
      <c r="E65" s="21" t="str">
        <f aca="false">IF(ABS(B65-D65)&lt;=0.5,"OK","DIVERSO")</f>
        <v>OK</v>
      </c>
      <c r="F65" s="16" t="s">
        <v>270</v>
      </c>
    </row>
    <row r="66" customFormat="false" ht="15" hidden="false" customHeight="true" outlineLevel="0" collapsed="false">
      <c r="A66" s="14" t="s">
        <v>315</v>
      </c>
      <c r="B66" s="19" t="n">
        <f aca="false">Impresa_guida!$B$34-Impresa_guida!$B$42-$B$65</f>
        <v>0</v>
      </c>
      <c r="C66" s="16" t="s">
        <v>140</v>
      </c>
      <c r="D66" s="20" t="n">
        <v>0</v>
      </c>
      <c r="E66" s="21" t="str">
        <f aca="false">IF(ABS(B66-D66)&lt;=0.5,"OK","DIVERSO")</f>
        <v>OK</v>
      </c>
      <c r="F66" s="16" t="s">
        <v>270</v>
      </c>
    </row>
    <row r="67" customFormat="false" ht="15" hidden="false" customHeight="true" outlineLevel="0" collapsed="false"/>
    <row r="68" customFormat="false" ht="15" hidden="false" customHeight="true" outlineLevel="0" collapsed="false">
      <c r="A68" s="13" t="s">
        <v>316</v>
      </c>
      <c r="B68" s="13"/>
      <c r="C68" s="13"/>
      <c r="D68" s="13"/>
      <c r="E68" s="13"/>
      <c r="F68" s="13"/>
    </row>
    <row r="69" customFormat="false" ht="15" hidden="false" customHeight="true" outlineLevel="0" collapsed="false">
      <c r="A69" s="22" t="s">
        <v>317</v>
      </c>
      <c r="B69" s="22"/>
      <c r="C69" s="22"/>
      <c r="D69" s="22"/>
      <c r="E69" s="22"/>
      <c r="F69" s="22"/>
    </row>
    <row r="70" customFormat="false" ht="15" hidden="false" customHeight="true" outlineLevel="0" collapsed="false">
      <c r="A70" s="6" t="s">
        <v>116</v>
      </c>
      <c r="B70" s="6" t="s">
        <v>117</v>
      </c>
      <c r="C70" s="6" t="s">
        <v>118</v>
      </c>
      <c r="D70" s="6" t="s">
        <v>119</v>
      </c>
      <c r="E70" s="6" t="s">
        <v>120</v>
      </c>
      <c r="F70" s="6" t="s">
        <v>121</v>
      </c>
    </row>
    <row r="71" customFormat="false" ht="15" hidden="false" customHeight="true" outlineLevel="0" collapsed="false">
      <c r="A71" s="14" t="s">
        <v>318</v>
      </c>
      <c r="B71" s="25" t="n">
        <v>0.8</v>
      </c>
      <c r="C71" s="16" t="s">
        <v>319</v>
      </c>
      <c r="D71" s="17"/>
      <c r="E71" s="17"/>
      <c r="F71" s="16" t="s">
        <v>270</v>
      </c>
    </row>
    <row r="72" customFormat="false" ht="15" hidden="false" customHeight="true" outlineLevel="0" collapsed="false">
      <c r="A72" s="14" t="s">
        <v>320</v>
      </c>
      <c r="B72" s="19" t="n">
        <f aca="false">$B$71*(Impresa_guida!$B$8+Impresa_guida!$B$12+Impresa_guida!$B$16)</f>
        <v>17600</v>
      </c>
      <c r="C72" s="16" t="s">
        <v>123</v>
      </c>
      <c r="D72" s="20" t="n">
        <v>17600</v>
      </c>
      <c r="E72" s="21" t="str">
        <f aca="false">IF(ABS(B72-D72)&lt;=0.5,"OK","DIVERSO")</f>
        <v>OK</v>
      </c>
      <c r="F72" s="16" t="s">
        <v>270</v>
      </c>
    </row>
    <row r="73" customFormat="false" ht="15" hidden="false" customHeight="true" outlineLevel="0" collapsed="false">
      <c r="A73" s="14" t="s">
        <v>321</v>
      </c>
      <c r="B73" s="19" t="n">
        <f aca="false">$B$71*Impresa_guida!$B$37</f>
        <v>19200</v>
      </c>
      <c r="C73" s="16" t="s">
        <v>144</v>
      </c>
      <c r="D73" s="20" t="n">
        <v>19200</v>
      </c>
      <c r="E73" s="21" t="str">
        <f aca="false">IF(ABS(B73-D73)&lt;=0.5,"OK","DIVERSO")</f>
        <v>OK</v>
      </c>
      <c r="F73" s="16" t="s">
        <v>270</v>
      </c>
    </row>
    <row r="74" customFormat="false" ht="15" hidden="false" customHeight="true" outlineLevel="0" collapsed="false">
      <c r="A74" s="14" t="s">
        <v>322</v>
      </c>
      <c r="B74" s="19" t="n">
        <f aca="false">$B$71*Impresa_guida!$B$35</f>
        <v>1859200</v>
      </c>
      <c r="C74" s="16" t="s">
        <v>140</v>
      </c>
      <c r="D74" s="20" t="n">
        <v>1859200</v>
      </c>
      <c r="E74" s="21" t="str">
        <f aca="false">IF(ABS(B74-D74)&lt;=0.5,"OK","DIVERSO")</f>
        <v>OK</v>
      </c>
      <c r="F74" s="16" t="s">
        <v>270</v>
      </c>
    </row>
    <row r="75" customFormat="false" ht="15" hidden="false" customHeight="true" outlineLevel="0" collapsed="false">
      <c r="A75" s="14" t="s">
        <v>323</v>
      </c>
      <c r="B75" s="19" t="n">
        <f aca="false">MAX($B$73-Impresa_guida!$B$26,0)</f>
        <v>0</v>
      </c>
      <c r="C75" s="16" t="s">
        <v>144</v>
      </c>
      <c r="D75" s="20" t="n">
        <v>0</v>
      </c>
      <c r="E75" s="21" t="str">
        <f aca="false">IF(ABS(B75-D75)&lt;=0.5,"OK","DIVERSO")</f>
        <v>OK</v>
      </c>
      <c r="F75" s="16" t="s">
        <v>270</v>
      </c>
    </row>
    <row r="76" customFormat="false" ht="15" hidden="false" customHeight="true" outlineLevel="0" collapsed="false">
      <c r="A76" s="14" t="s">
        <v>324</v>
      </c>
      <c r="B76" s="19" t="n">
        <f aca="false">$B$75*Impresa_guida!$B$27</f>
        <v>0</v>
      </c>
      <c r="C76" s="16" t="s">
        <v>140</v>
      </c>
      <c r="D76" s="20" t="n">
        <v>0</v>
      </c>
      <c r="E76" s="21" t="str">
        <f aca="false">IF(ABS(B76-D76)&lt;=0.5,"OK","DIVERSO")</f>
        <v>OK</v>
      </c>
      <c r="F76" s="16" t="s">
        <v>270</v>
      </c>
    </row>
    <row r="77" customFormat="false" ht="15" hidden="false" customHeight="true" outlineLevel="0" collapsed="false">
      <c r="A77" s="14" t="s">
        <v>325</v>
      </c>
      <c r="B77" s="19" t="n">
        <f aca="false">Impresa_guida!$B$40+$B$74+$B$76</f>
        <v>2595200</v>
      </c>
      <c r="C77" s="16" t="s">
        <v>140</v>
      </c>
      <c r="D77" s="20" t="n">
        <v>2595200</v>
      </c>
      <c r="E77" s="21" t="str">
        <f aca="false">IF(ABS(B77-D77)&lt;=0.5,"OK","DIVERSO")</f>
        <v>OK</v>
      </c>
      <c r="F77" s="16" t="s">
        <v>270</v>
      </c>
    </row>
    <row r="78" customFormat="false" ht="15" hidden="false" customHeight="true" outlineLevel="0" collapsed="false">
      <c r="A78" s="14" t="s">
        <v>326</v>
      </c>
      <c r="B78" s="23" t="n">
        <f aca="false">Impresa_guida!$B$40/$B$73</f>
        <v>38.3333333333333</v>
      </c>
      <c r="C78" s="16" t="s">
        <v>146</v>
      </c>
      <c r="D78" s="24" t="n">
        <v>38.33</v>
      </c>
      <c r="E78" s="21" t="str">
        <f aca="false">IF(ABS(B78-D78)&lt;=0.005,"OK","DIVERSO")</f>
        <v>OK</v>
      </c>
      <c r="F78" s="16" t="s">
        <v>270</v>
      </c>
    </row>
    <row r="79" customFormat="false" ht="15" hidden="false" customHeight="true" outlineLevel="0" collapsed="false">
      <c r="A79" s="14" t="s">
        <v>327</v>
      </c>
      <c r="B79" s="25" t="n">
        <v>0.875</v>
      </c>
      <c r="C79" s="16" t="s">
        <v>319</v>
      </c>
      <c r="D79" s="17"/>
      <c r="E79" s="17"/>
      <c r="F79" s="16" t="s">
        <v>270</v>
      </c>
    </row>
    <row r="80" customFormat="false" ht="15" hidden="false" customHeight="true" outlineLevel="0" collapsed="false">
      <c r="A80" s="14" t="s">
        <v>328</v>
      </c>
      <c r="B80" s="19" t="n">
        <f aca="false">$B$79*(Impresa_guida!$B$8+Impresa_guida!$B$12+Impresa_guida!$B$16)</f>
        <v>19250</v>
      </c>
      <c r="C80" s="16" t="s">
        <v>123</v>
      </c>
      <c r="D80" s="20" t="n">
        <v>19250</v>
      </c>
      <c r="E80" s="21" t="str">
        <f aca="false">IF(ABS(B80-D80)&lt;=0.5,"OK","DIVERSO")</f>
        <v>OK</v>
      </c>
      <c r="F80" s="16" t="s">
        <v>270</v>
      </c>
    </row>
    <row r="81" customFormat="false" ht="15" hidden="false" customHeight="true" outlineLevel="0" collapsed="false">
      <c r="A81" s="14" t="s">
        <v>329</v>
      </c>
      <c r="B81" s="19" t="n">
        <f aca="false">$B$79*Impresa_guida!$B$37</f>
        <v>21000</v>
      </c>
      <c r="C81" s="16" t="s">
        <v>144</v>
      </c>
      <c r="D81" s="20" t="n">
        <v>21000</v>
      </c>
      <c r="E81" s="21" t="str">
        <f aca="false">IF(ABS(B81-D81)&lt;=0.5,"OK","DIVERSO")</f>
        <v>OK</v>
      </c>
      <c r="F81" s="16" t="s">
        <v>270</v>
      </c>
    </row>
    <row r="82" customFormat="false" ht="15" hidden="false" customHeight="true" outlineLevel="0" collapsed="false">
      <c r="A82" s="14" t="s">
        <v>330</v>
      </c>
      <c r="B82" s="19" t="n">
        <f aca="false">$B$79*Impresa_guida!$B$35</f>
        <v>2033500</v>
      </c>
      <c r="C82" s="16" t="s">
        <v>140</v>
      </c>
      <c r="D82" s="20" t="n">
        <v>2033500</v>
      </c>
      <c r="E82" s="21" t="str">
        <f aca="false">IF(ABS(B82-D82)&lt;=0.5,"OK","DIVERSO")</f>
        <v>OK</v>
      </c>
      <c r="F82" s="16" t="s">
        <v>270</v>
      </c>
    </row>
    <row r="83" customFormat="false" ht="15" hidden="false" customHeight="true" outlineLevel="0" collapsed="false">
      <c r="A83" s="14" t="s">
        <v>331</v>
      </c>
      <c r="B83" s="19" t="n">
        <f aca="false">MAX($B$81-Impresa_guida!$B$26,0)</f>
        <v>0</v>
      </c>
      <c r="C83" s="16" t="s">
        <v>144</v>
      </c>
      <c r="D83" s="20" t="n">
        <v>0</v>
      </c>
      <c r="E83" s="21" t="str">
        <f aca="false">IF(ABS(B83-D83)&lt;=0.5,"OK","DIVERSO")</f>
        <v>OK</v>
      </c>
      <c r="F83" s="16" t="s">
        <v>270</v>
      </c>
    </row>
    <row r="84" customFormat="false" ht="15" hidden="false" customHeight="true" outlineLevel="0" collapsed="false">
      <c r="A84" s="14" t="s">
        <v>332</v>
      </c>
      <c r="B84" s="19" t="n">
        <f aca="false">$B$83*Impresa_guida!$B$27</f>
        <v>0</v>
      </c>
      <c r="C84" s="16" t="s">
        <v>140</v>
      </c>
      <c r="D84" s="20" t="n">
        <v>0</v>
      </c>
      <c r="E84" s="21" t="str">
        <f aca="false">IF(ABS(B84-D84)&lt;=0.5,"OK","DIVERSO")</f>
        <v>OK</v>
      </c>
      <c r="F84" s="16" t="s">
        <v>270</v>
      </c>
    </row>
    <row r="85" customFormat="false" ht="15" hidden="false" customHeight="true" outlineLevel="0" collapsed="false">
      <c r="A85" s="14" t="s">
        <v>333</v>
      </c>
      <c r="B85" s="19" t="n">
        <f aca="false">Impresa_guida!$B$40+$B$82+$B$84</f>
        <v>2769500</v>
      </c>
      <c r="C85" s="16" t="s">
        <v>140</v>
      </c>
      <c r="D85" s="20" t="n">
        <v>2769500</v>
      </c>
      <c r="E85" s="21" t="str">
        <f aca="false">IF(ABS(B85-D85)&lt;=0.5,"OK","DIVERSO")</f>
        <v>OK</v>
      </c>
      <c r="F85" s="16" t="s">
        <v>270</v>
      </c>
    </row>
    <row r="86" customFormat="false" ht="15" hidden="false" customHeight="true" outlineLevel="0" collapsed="false">
      <c r="A86" s="14" t="s">
        <v>334</v>
      </c>
      <c r="B86" s="23" t="n">
        <f aca="false">Impresa_guida!$B$40/$B$81</f>
        <v>35.0476190476191</v>
      </c>
      <c r="C86" s="16" t="s">
        <v>146</v>
      </c>
      <c r="D86" s="24" t="n">
        <v>35.05</v>
      </c>
      <c r="E86" s="21" t="str">
        <f aca="false">IF(ABS(B86-D86)&lt;=0.005,"OK","DIVERSO")</f>
        <v>OK</v>
      </c>
      <c r="F86" s="16" t="s">
        <v>270</v>
      </c>
    </row>
    <row r="87" customFormat="false" ht="15" hidden="false" customHeight="true" outlineLevel="0" collapsed="false">
      <c r="A87" s="14" t="s">
        <v>335</v>
      </c>
      <c r="B87" s="25" t="n">
        <v>0.9</v>
      </c>
      <c r="C87" s="16" t="s">
        <v>319</v>
      </c>
      <c r="D87" s="17"/>
      <c r="E87" s="17"/>
      <c r="F87" s="16" t="s">
        <v>270</v>
      </c>
    </row>
    <row r="88" customFormat="false" ht="15" hidden="false" customHeight="true" outlineLevel="0" collapsed="false">
      <c r="A88" s="14" t="s">
        <v>336</v>
      </c>
      <c r="B88" s="19" t="n">
        <f aca="false">$B$87*(Impresa_guida!$B$8+Impresa_guida!$B$12+Impresa_guida!$B$16)</f>
        <v>19800</v>
      </c>
      <c r="C88" s="16" t="s">
        <v>123</v>
      </c>
      <c r="D88" s="20" t="n">
        <v>19800</v>
      </c>
      <c r="E88" s="21" t="str">
        <f aca="false">IF(ABS(B88-D88)&lt;=0.5,"OK","DIVERSO")</f>
        <v>OK</v>
      </c>
      <c r="F88" s="16" t="s">
        <v>270</v>
      </c>
    </row>
    <row r="89" customFormat="false" ht="15" hidden="false" customHeight="true" outlineLevel="0" collapsed="false">
      <c r="A89" s="14" t="s">
        <v>337</v>
      </c>
      <c r="B89" s="19" t="n">
        <f aca="false">$B$87*Impresa_guida!$B$37</f>
        <v>21600</v>
      </c>
      <c r="C89" s="16" t="s">
        <v>144</v>
      </c>
      <c r="D89" s="20" t="n">
        <v>21600</v>
      </c>
      <c r="E89" s="21" t="str">
        <f aca="false">IF(ABS(B89-D89)&lt;=0.5,"OK","DIVERSO")</f>
        <v>OK</v>
      </c>
      <c r="F89" s="16" t="s">
        <v>270</v>
      </c>
    </row>
    <row r="90" customFormat="false" ht="15" hidden="false" customHeight="true" outlineLevel="0" collapsed="false">
      <c r="A90" s="14" t="s">
        <v>338</v>
      </c>
      <c r="B90" s="19" t="n">
        <f aca="false">$B$87*Impresa_guida!$B$35</f>
        <v>2091600</v>
      </c>
      <c r="C90" s="16" t="s">
        <v>140</v>
      </c>
      <c r="D90" s="20" t="n">
        <v>2091600</v>
      </c>
      <c r="E90" s="21" t="str">
        <f aca="false">IF(ABS(B90-D90)&lt;=0.5,"OK","DIVERSO")</f>
        <v>OK</v>
      </c>
      <c r="F90" s="16" t="s">
        <v>270</v>
      </c>
    </row>
    <row r="91" customFormat="false" ht="15" hidden="false" customHeight="true" outlineLevel="0" collapsed="false">
      <c r="A91" s="14" t="s">
        <v>339</v>
      </c>
      <c r="B91" s="19" t="n">
        <f aca="false">MAX($B$89-Impresa_guida!$B$26,0)</f>
        <v>600</v>
      </c>
      <c r="C91" s="16" t="s">
        <v>144</v>
      </c>
      <c r="D91" s="20" t="n">
        <v>600</v>
      </c>
      <c r="E91" s="21" t="str">
        <f aca="false">IF(ABS(B91-D91)&lt;=0.5,"OK","DIVERSO")</f>
        <v>OK</v>
      </c>
      <c r="F91" s="16" t="s">
        <v>270</v>
      </c>
    </row>
    <row r="92" customFormat="false" ht="15" hidden="false" customHeight="true" outlineLevel="0" collapsed="false">
      <c r="A92" s="14" t="s">
        <v>340</v>
      </c>
      <c r="B92" s="19" t="n">
        <f aca="false">$B$91*Impresa_guida!$B$27</f>
        <v>16800</v>
      </c>
      <c r="C92" s="16" t="s">
        <v>140</v>
      </c>
      <c r="D92" s="20" t="n">
        <v>16800</v>
      </c>
      <c r="E92" s="21" t="str">
        <f aca="false">IF(ABS(B92-D92)&lt;=0.5,"OK","DIVERSO")</f>
        <v>OK</v>
      </c>
      <c r="F92" s="16" t="s">
        <v>270</v>
      </c>
    </row>
    <row r="93" customFormat="false" ht="15" hidden="false" customHeight="true" outlineLevel="0" collapsed="false">
      <c r="A93" s="14" t="s">
        <v>341</v>
      </c>
      <c r="B93" s="19" t="n">
        <f aca="false">Impresa_guida!$B$40+$B$90+$B$92</f>
        <v>2844400</v>
      </c>
      <c r="C93" s="16" t="s">
        <v>140</v>
      </c>
      <c r="D93" s="20" t="n">
        <v>2844400</v>
      </c>
      <c r="E93" s="21" t="str">
        <f aca="false">IF(ABS(B93-D93)&lt;=0.5,"OK","DIVERSO")</f>
        <v>OK</v>
      </c>
      <c r="F93" s="16" t="s">
        <v>270</v>
      </c>
    </row>
    <row r="94" customFormat="false" ht="15" hidden="false" customHeight="true" outlineLevel="0" collapsed="false">
      <c r="A94" s="14" t="s">
        <v>342</v>
      </c>
      <c r="B94" s="23" t="n">
        <f aca="false">Impresa_guida!$B$40/$B$89</f>
        <v>34.0740740740741</v>
      </c>
      <c r="C94" s="16" t="s">
        <v>146</v>
      </c>
      <c r="D94" s="24" t="n">
        <v>34.07</v>
      </c>
      <c r="E94" s="21" t="str">
        <f aca="false">IF(ABS(B94-D94)&lt;=0.005,"OK","DIVERSO")</f>
        <v>OK</v>
      </c>
      <c r="F94" s="16" t="s">
        <v>270</v>
      </c>
    </row>
    <row r="95" customFormat="false" ht="15" hidden="false" customHeight="true" outlineLevel="0" collapsed="false">
      <c r="A95" s="14" t="s">
        <v>343</v>
      </c>
      <c r="B95" s="25" t="n">
        <v>1</v>
      </c>
      <c r="C95" s="16" t="s">
        <v>319</v>
      </c>
      <c r="D95" s="17"/>
      <c r="E95" s="17"/>
      <c r="F95" s="16" t="s">
        <v>270</v>
      </c>
    </row>
    <row r="96" customFormat="false" ht="15" hidden="false" customHeight="true" outlineLevel="0" collapsed="false">
      <c r="A96" s="14" t="s">
        <v>344</v>
      </c>
      <c r="B96" s="19" t="n">
        <f aca="false">$B$95*(Impresa_guida!$B$8+Impresa_guida!$B$12+Impresa_guida!$B$16)</f>
        <v>22000</v>
      </c>
      <c r="C96" s="16" t="s">
        <v>123</v>
      </c>
      <c r="D96" s="20" t="n">
        <v>22000</v>
      </c>
      <c r="E96" s="21" t="str">
        <f aca="false">IF(ABS(B96-D96)&lt;=0.5,"OK","DIVERSO")</f>
        <v>OK</v>
      </c>
      <c r="F96" s="16" t="s">
        <v>270</v>
      </c>
    </row>
    <row r="97" customFormat="false" ht="15" hidden="false" customHeight="true" outlineLevel="0" collapsed="false">
      <c r="A97" s="14" t="s">
        <v>345</v>
      </c>
      <c r="B97" s="19" t="n">
        <f aca="false">$B$95*Impresa_guida!$B$37</f>
        <v>24000</v>
      </c>
      <c r="C97" s="16" t="s">
        <v>144</v>
      </c>
      <c r="D97" s="20" t="n">
        <v>24000</v>
      </c>
      <c r="E97" s="21" t="str">
        <f aca="false">IF(ABS(B97-D97)&lt;=0.5,"OK","DIVERSO")</f>
        <v>OK</v>
      </c>
      <c r="F97" s="16" t="s">
        <v>270</v>
      </c>
    </row>
    <row r="98" customFormat="false" ht="15" hidden="false" customHeight="true" outlineLevel="0" collapsed="false">
      <c r="A98" s="14" t="s">
        <v>346</v>
      </c>
      <c r="B98" s="19" t="n">
        <f aca="false">$B$95*Impresa_guida!$B$35</f>
        <v>2324000</v>
      </c>
      <c r="C98" s="16" t="s">
        <v>140</v>
      </c>
      <c r="D98" s="20" t="n">
        <v>2324000</v>
      </c>
      <c r="E98" s="21" t="str">
        <f aca="false">IF(ABS(B98-D98)&lt;=0.5,"OK","DIVERSO")</f>
        <v>OK</v>
      </c>
      <c r="F98" s="16" t="s">
        <v>270</v>
      </c>
    </row>
    <row r="99" customFormat="false" ht="15" hidden="false" customHeight="true" outlineLevel="0" collapsed="false">
      <c r="A99" s="14" t="s">
        <v>347</v>
      </c>
      <c r="B99" s="19" t="n">
        <f aca="false">MAX($B$97-Impresa_guida!$B$26,0)</f>
        <v>3000</v>
      </c>
      <c r="C99" s="16" t="s">
        <v>144</v>
      </c>
      <c r="D99" s="20" t="n">
        <v>3000</v>
      </c>
      <c r="E99" s="21" t="str">
        <f aca="false">IF(ABS(B99-D99)&lt;=0.5,"OK","DIVERSO")</f>
        <v>OK</v>
      </c>
      <c r="F99" s="16" t="s">
        <v>270</v>
      </c>
    </row>
    <row r="100" customFormat="false" ht="15" hidden="false" customHeight="true" outlineLevel="0" collapsed="false">
      <c r="A100" s="14" t="s">
        <v>348</v>
      </c>
      <c r="B100" s="19" t="n">
        <f aca="false">$B$99*Impresa_guida!$B$27</f>
        <v>84000</v>
      </c>
      <c r="C100" s="16" t="s">
        <v>140</v>
      </c>
      <c r="D100" s="20" t="n">
        <v>84000</v>
      </c>
      <c r="E100" s="21" t="str">
        <f aca="false">IF(ABS(B100-D100)&lt;=0.5,"OK","DIVERSO")</f>
        <v>OK</v>
      </c>
      <c r="F100" s="16" t="s">
        <v>270</v>
      </c>
    </row>
    <row r="101" customFormat="false" ht="15" hidden="false" customHeight="true" outlineLevel="0" collapsed="false">
      <c r="A101" s="14" t="s">
        <v>349</v>
      </c>
      <c r="B101" s="19" t="n">
        <f aca="false">Impresa_guida!$B$40+$B$98+$B$100</f>
        <v>3144000</v>
      </c>
      <c r="C101" s="16" t="s">
        <v>140</v>
      </c>
      <c r="D101" s="20" t="n">
        <v>3144000</v>
      </c>
      <c r="E101" s="21" t="str">
        <f aca="false">IF(ABS(B101-D101)&lt;=0.5,"OK","DIVERSO")</f>
        <v>OK</v>
      </c>
      <c r="F101" s="16" t="s">
        <v>270</v>
      </c>
    </row>
    <row r="102" customFormat="false" ht="15" hidden="false" customHeight="true" outlineLevel="0" collapsed="false">
      <c r="A102" s="14" t="s">
        <v>350</v>
      </c>
      <c r="B102" s="23" t="n">
        <f aca="false">Impresa_guida!$B$40/$B$97</f>
        <v>30.6666666666667</v>
      </c>
      <c r="C102" s="16" t="s">
        <v>146</v>
      </c>
      <c r="D102" s="24" t="n">
        <v>30.67</v>
      </c>
      <c r="E102" s="21" t="str">
        <f aca="false">IF(ABS(B102-D102)&lt;=0.005,"OK","DIVERSO")</f>
        <v>OK</v>
      </c>
      <c r="F102" s="16" t="s">
        <v>270</v>
      </c>
    </row>
    <row r="103" customFormat="false" ht="15" hidden="false" customHeight="true" outlineLevel="0" collapsed="false"/>
    <row r="104" customFormat="false" ht="15" hidden="false" customHeight="true" outlineLevel="0" collapsed="false">
      <c r="A104" s="13" t="s">
        <v>351</v>
      </c>
      <c r="B104" s="13"/>
      <c r="C104" s="13"/>
      <c r="D104" s="13"/>
      <c r="E104" s="13"/>
      <c r="F104" s="13"/>
    </row>
    <row r="105" customFormat="false" ht="15" hidden="false" customHeight="true" outlineLevel="0" collapsed="false">
      <c r="A105" s="22" t="s">
        <v>352</v>
      </c>
      <c r="B105" s="22"/>
      <c r="C105" s="22"/>
      <c r="D105" s="22"/>
      <c r="E105" s="22"/>
      <c r="F105" s="22"/>
    </row>
    <row r="106" customFormat="false" ht="15" hidden="false" customHeight="true" outlineLevel="0" collapsed="false">
      <c r="A106" s="6" t="s">
        <v>116</v>
      </c>
      <c r="B106" s="6" t="s">
        <v>117</v>
      </c>
      <c r="C106" s="6" t="s">
        <v>118</v>
      </c>
      <c r="D106" s="6" t="s">
        <v>119</v>
      </c>
      <c r="E106" s="6" t="s">
        <v>120</v>
      </c>
      <c r="F106" s="6" t="s">
        <v>121</v>
      </c>
    </row>
    <row r="107" customFormat="false" ht="15" hidden="false" customHeight="true" outlineLevel="0" collapsed="false">
      <c r="A107" s="14" t="s">
        <v>353</v>
      </c>
      <c r="B107" s="19" t="n">
        <f aca="false">Impresa_guida!$B$26-$B$73</f>
        <v>1800</v>
      </c>
      <c r="C107" s="16" t="s">
        <v>144</v>
      </c>
      <c r="D107" s="20" t="n">
        <v>1800</v>
      </c>
      <c r="E107" s="21" t="str">
        <f aca="false">IF(ABS(B107-D107)&lt;=0.5,"OK","DIVERSO")</f>
        <v>OK</v>
      </c>
      <c r="F107" s="16" t="s">
        <v>270</v>
      </c>
    </row>
    <row r="108" customFormat="false" ht="15" hidden="false" customHeight="true" outlineLevel="0" collapsed="false">
      <c r="A108" s="14" t="s">
        <v>354</v>
      </c>
      <c r="B108" s="19" t="n">
        <f aca="false">Cap_02!$B$9+Cap_02!$B$10</f>
        <v>120000</v>
      </c>
      <c r="C108" s="16" t="s">
        <v>140</v>
      </c>
      <c r="D108" s="20" t="n">
        <v>120000</v>
      </c>
      <c r="E108" s="21" t="str">
        <f aca="false">IF(ABS(B108-D108)&lt;=0.5,"OK","DIVERSO")</f>
        <v>OK</v>
      </c>
      <c r="F108" s="16" t="s">
        <v>270</v>
      </c>
    </row>
    <row r="109" customFormat="false" ht="15" hidden="false" customHeight="true" outlineLevel="0" collapsed="false">
      <c r="A109" s="14" t="s">
        <v>355</v>
      </c>
      <c r="B109" s="23" t="n">
        <f aca="false">$B$108/Impresa_guida!$B$26</f>
        <v>5.71428571428571</v>
      </c>
      <c r="C109" s="16" t="s">
        <v>146</v>
      </c>
      <c r="D109" s="24" t="n">
        <v>5.71</v>
      </c>
      <c r="E109" s="21" t="str">
        <f aca="false">IF(ABS(B109-D109)&lt;=0.005,"OK","DIVERSO")</f>
        <v>OK</v>
      </c>
      <c r="F109" s="16" t="s">
        <v>270</v>
      </c>
    </row>
    <row r="110" customFormat="false" ht="15" hidden="false" customHeight="true" outlineLevel="0" collapsed="false">
      <c r="A110" s="14" t="s">
        <v>356</v>
      </c>
      <c r="B110" s="19" t="n">
        <f aca="false">$B$107*$B$108/Impresa_guida!$B$26</f>
        <v>10285.7142857143</v>
      </c>
      <c r="C110" s="16" t="s">
        <v>140</v>
      </c>
      <c r="D110" s="20" t="n">
        <v>10286</v>
      </c>
      <c r="E110" s="21" t="str">
        <f aca="false">IF(ABS(B110-D110)&lt;=0.5,"OK","DIVERSO")</f>
        <v>OK</v>
      </c>
      <c r="F110" s="16" t="s">
        <v>270</v>
      </c>
    </row>
  </sheetData>
  <mergeCells count="18">
    <mergeCell ref="A1:F1"/>
    <mergeCell ref="A4:F4"/>
    <mergeCell ref="A6:F6"/>
    <mergeCell ref="A7:F7"/>
    <mergeCell ref="A17:F17"/>
    <mergeCell ref="A18:F18"/>
    <mergeCell ref="A25:F25"/>
    <mergeCell ref="A26:F26"/>
    <mergeCell ref="A34:F34"/>
    <mergeCell ref="A35:F35"/>
    <mergeCell ref="A47:F47"/>
    <mergeCell ref="A48:F48"/>
    <mergeCell ref="A59:F59"/>
    <mergeCell ref="A60:F60"/>
    <mergeCell ref="A68:F68"/>
    <mergeCell ref="A69:F69"/>
    <mergeCell ref="A104:F104"/>
    <mergeCell ref="A105:F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29</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357</v>
      </c>
      <c r="B4" s="5"/>
      <c r="C4" s="5"/>
      <c r="D4" s="5"/>
      <c r="E4" s="5"/>
      <c r="F4" s="5"/>
    </row>
    <row r="5" customFormat="false" ht="15" hidden="false" customHeight="true" outlineLevel="0" collapsed="false"/>
    <row r="6" customFormat="false" ht="15" hidden="false" customHeight="true" outlineLevel="0" collapsed="false">
      <c r="A6" s="13" t="s">
        <v>358</v>
      </c>
      <c r="B6" s="13"/>
      <c r="C6" s="13"/>
      <c r="D6" s="13"/>
      <c r="E6" s="13"/>
      <c r="F6" s="13"/>
    </row>
    <row r="7" customFormat="false" ht="15" hidden="false" customHeight="true" outlineLevel="0" collapsed="false">
      <c r="A7" s="22" t="s">
        <v>359</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360</v>
      </c>
      <c r="B9" s="19" t="n">
        <f aca="false">Impresa_guida!$B$8+Impresa_guida!$B$12+Impresa_guida!$B$16</f>
        <v>22000</v>
      </c>
      <c r="C9" s="16" t="s">
        <v>123</v>
      </c>
      <c r="D9" s="20" t="n">
        <v>22000</v>
      </c>
      <c r="E9" s="21" t="str">
        <f aca="false">IF(ABS(B9-D9)&lt;=0.5,"OK","DIVERSO")</f>
        <v>OK</v>
      </c>
      <c r="F9" s="16" t="s">
        <v>361</v>
      </c>
    </row>
    <row r="10" customFormat="false" ht="15" hidden="false" customHeight="true" outlineLevel="0" collapsed="false">
      <c r="A10" s="14" t="s">
        <v>362</v>
      </c>
      <c r="B10" s="19" t="n">
        <f aca="false">Impresa_guida!$B$34</f>
        <v>3386000</v>
      </c>
      <c r="C10" s="16" t="s">
        <v>140</v>
      </c>
      <c r="D10" s="20" t="n">
        <v>3386000</v>
      </c>
      <c r="E10" s="21" t="str">
        <f aca="false">IF(ABS(B10-D10)&lt;=0.5,"OK","DIVERSO")</f>
        <v>OK</v>
      </c>
      <c r="F10" s="16" t="s">
        <v>361</v>
      </c>
    </row>
    <row r="11" customFormat="false" ht="15" hidden="false" customHeight="true" outlineLevel="0" collapsed="false">
      <c r="A11" s="14" t="s">
        <v>363</v>
      </c>
      <c r="B11" s="15" t="n">
        <v>218</v>
      </c>
      <c r="C11" s="16" t="s">
        <v>364</v>
      </c>
      <c r="D11" s="17"/>
      <c r="E11" s="17"/>
      <c r="F11" s="16" t="s">
        <v>361</v>
      </c>
    </row>
    <row r="12" customFormat="false" ht="15" hidden="false" customHeight="true" outlineLevel="0" collapsed="false">
      <c r="A12" s="14" t="s">
        <v>365</v>
      </c>
      <c r="B12" s="15" t="n">
        <v>1220000</v>
      </c>
      <c r="C12" s="16" t="s">
        <v>140</v>
      </c>
      <c r="D12" s="17"/>
      <c r="E12" s="17"/>
      <c r="F12" s="16" t="s">
        <v>361</v>
      </c>
    </row>
    <row r="13" customFormat="false" ht="15" hidden="false" customHeight="true" outlineLevel="0" collapsed="false">
      <c r="A13" s="14" t="s">
        <v>366</v>
      </c>
      <c r="B13" s="15" t="n">
        <v>2166000</v>
      </c>
      <c r="C13" s="16" t="s">
        <v>140</v>
      </c>
      <c r="D13" s="17"/>
      <c r="E13" s="17"/>
      <c r="F13" s="16" t="s">
        <v>361</v>
      </c>
    </row>
    <row r="14" customFormat="false" ht="15" hidden="false" customHeight="true" outlineLevel="0" collapsed="false">
      <c r="A14" s="14" t="s">
        <v>367</v>
      </c>
      <c r="B14" s="19" t="n">
        <f aca="false">$B$12+$B$13</f>
        <v>3386000</v>
      </c>
      <c r="C14" s="16" t="s">
        <v>140</v>
      </c>
      <c r="D14" s="20" t="n">
        <v>3386000</v>
      </c>
      <c r="E14" s="21" t="str">
        <f aca="false">IF(ABS(B14-D14)&lt;=0.5,"OK","DIVERSO")</f>
        <v>OK</v>
      </c>
      <c r="F14" s="16" t="s">
        <v>361</v>
      </c>
    </row>
    <row r="15" customFormat="false" ht="15" hidden="false" customHeight="true" outlineLevel="0" collapsed="false">
      <c r="A15" s="14" t="s">
        <v>368</v>
      </c>
      <c r="B15" s="19" t="n">
        <f aca="false">$B$14-Impresa_guida!$B$34</f>
        <v>0</v>
      </c>
      <c r="C15" s="16" t="s">
        <v>140</v>
      </c>
      <c r="D15" s="20" t="n">
        <v>0</v>
      </c>
      <c r="E15" s="21" t="str">
        <f aca="false">IF(ABS(B15-D15)&lt;=0.5,"OK","DIVERSO")</f>
        <v>OK</v>
      </c>
      <c r="F15" s="16" t="s">
        <v>361</v>
      </c>
    </row>
    <row r="16" customFormat="false" ht="15" hidden="false" customHeight="true" outlineLevel="0" collapsed="false">
      <c r="A16" s="14" t="s">
        <v>369</v>
      </c>
      <c r="B16" s="19" t="n">
        <f aca="false">Impresa_guida!$B$37</f>
        <v>24000</v>
      </c>
      <c r="C16" s="16" t="s">
        <v>144</v>
      </c>
      <c r="D16" s="20" t="n">
        <v>24000</v>
      </c>
      <c r="E16" s="21" t="str">
        <f aca="false">IF(ABS(B16-D16)&lt;=0.5,"OK","DIVERSO")</f>
        <v>OK</v>
      </c>
      <c r="F16" s="16" t="s">
        <v>361</v>
      </c>
    </row>
    <row r="17" customFormat="false" ht="15" hidden="false" customHeight="true" outlineLevel="0" collapsed="false">
      <c r="A17" s="14" t="s">
        <v>370</v>
      </c>
      <c r="B17" s="19" t="n">
        <f aca="false">Impresa_guida!$B$26</f>
        <v>21000</v>
      </c>
      <c r="C17" s="16" t="s">
        <v>144</v>
      </c>
      <c r="D17" s="20" t="n">
        <v>21000</v>
      </c>
      <c r="E17" s="21" t="str">
        <f aca="false">IF(ABS(B17-D17)&lt;=0.5,"OK","DIVERSO")</f>
        <v>OK</v>
      </c>
      <c r="F17" s="16" t="s">
        <v>361</v>
      </c>
    </row>
    <row r="18" customFormat="false" ht="15" hidden="false" customHeight="true" outlineLevel="0" collapsed="false"/>
    <row r="19" customFormat="false" ht="15" hidden="false" customHeight="true" outlineLevel="0" collapsed="false">
      <c r="A19" s="13" t="s">
        <v>371</v>
      </c>
      <c r="B19" s="13"/>
      <c r="C19" s="13"/>
      <c r="D19" s="13"/>
      <c r="E19" s="13"/>
      <c r="F19" s="13"/>
    </row>
    <row r="20" customFormat="false" ht="15" hidden="false" customHeight="true" outlineLevel="0" collapsed="false">
      <c r="A20" s="22" t="s">
        <v>372</v>
      </c>
      <c r="B20" s="22"/>
      <c r="C20" s="22"/>
      <c r="D20" s="22"/>
      <c r="E20" s="22"/>
      <c r="F20" s="22"/>
    </row>
    <row r="21" customFormat="false" ht="15" hidden="false" customHeight="true" outlineLevel="0" collapsed="false">
      <c r="A21" s="6" t="s">
        <v>116</v>
      </c>
      <c r="B21" s="6" t="s">
        <v>117</v>
      </c>
      <c r="C21" s="6" t="s">
        <v>118</v>
      </c>
      <c r="D21" s="6" t="s">
        <v>119</v>
      </c>
      <c r="E21" s="6" t="s">
        <v>120</v>
      </c>
      <c r="F21" s="6" t="s">
        <v>121</v>
      </c>
    </row>
    <row r="22" customFormat="false" ht="15" hidden="false" customHeight="true" outlineLevel="0" collapsed="false">
      <c r="A22" s="14" t="s">
        <v>373</v>
      </c>
      <c r="B22" s="15" t="n">
        <v>36000</v>
      </c>
      <c r="C22" s="16" t="s">
        <v>140</v>
      </c>
      <c r="D22" s="17"/>
      <c r="E22" s="17"/>
      <c r="F22" s="16" t="s">
        <v>361</v>
      </c>
    </row>
    <row r="23" customFormat="false" ht="15" hidden="false" customHeight="true" outlineLevel="0" collapsed="false">
      <c r="A23" s="14" t="s">
        <v>374</v>
      </c>
      <c r="B23" s="15" t="n">
        <v>18000</v>
      </c>
      <c r="C23" s="16" t="s">
        <v>140</v>
      </c>
      <c r="D23" s="17"/>
      <c r="E23" s="17"/>
      <c r="F23" s="16" t="s">
        <v>361</v>
      </c>
    </row>
    <row r="24" customFormat="false" ht="15" hidden="false" customHeight="true" outlineLevel="0" collapsed="false">
      <c r="A24" s="14" t="s">
        <v>375</v>
      </c>
      <c r="B24" s="15" t="n">
        <v>66000</v>
      </c>
      <c r="C24" s="16" t="s">
        <v>140</v>
      </c>
      <c r="D24" s="17"/>
      <c r="E24" s="17"/>
      <c r="F24" s="16" t="s">
        <v>361</v>
      </c>
    </row>
    <row r="25" customFormat="false" ht="15" hidden="false" customHeight="true" outlineLevel="0" collapsed="false">
      <c r="A25" s="14" t="s">
        <v>376</v>
      </c>
      <c r="B25" s="19" t="n">
        <f aca="false">Impresa_guida!$B$37</f>
        <v>24000</v>
      </c>
      <c r="C25" s="16" t="s">
        <v>144</v>
      </c>
      <c r="D25" s="20" t="n">
        <v>24000</v>
      </c>
      <c r="E25" s="21" t="str">
        <f aca="false">IF(ABS(B25-D25)&lt;=0.5,"OK","DIVERSO")</f>
        <v>OK</v>
      </c>
      <c r="F25" s="16" t="s">
        <v>361</v>
      </c>
    </row>
    <row r="26" customFormat="false" ht="15" hidden="false" customHeight="true" outlineLevel="0" collapsed="false">
      <c r="A26" s="14" t="s">
        <v>377</v>
      </c>
      <c r="B26" s="19" t="n">
        <f aca="false">Impresa_guida!$B$38</f>
        <v>3000</v>
      </c>
      <c r="C26" s="16" t="s">
        <v>144</v>
      </c>
      <c r="D26" s="20" t="n">
        <v>3000</v>
      </c>
      <c r="E26" s="21" t="str">
        <f aca="false">IF(ABS(B26-D26)&lt;=0.5,"OK","DIVERSO")</f>
        <v>OK</v>
      </c>
      <c r="F26" s="16" t="s">
        <v>361</v>
      </c>
    </row>
    <row r="27" customFormat="false" ht="15" hidden="false" customHeight="true" outlineLevel="0" collapsed="false">
      <c r="A27" s="14" t="s">
        <v>378</v>
      </c>
      <c r="B27" s="19" t="n">
        <f aca="false">$B$22+$B$23+$B$24</f>
        <v>120000</v>
      </c>
      <c r="C27" s="16" t="s">
        <v>140</v>
      </c>
      <c r="D27" s="20" t="n">
        <v>120000</v>
      </c>
      <c r="E27" s="21" t="str">
        <f aca="false">IF(ABS(B27-D27)&lt;=0.5,"OK","DIVERSO")</f>
        <v>OK</v>
      </c>
      <c r="F27" s="16" t="s">
        <v>361</v>
      </c>
    </row>
    <row r="28" customFormat="false" ht="15" hidden="false" customHeight="true" outlineLevel="0" collapsed="false">
      <c r="A28" s="14" t="s">
        <v>379</v>
      </c>
      <c r="B28" s="19" t="n">
        <f aca="false">$B$27-Impresa_guida!$B$24</f>
        <v>0</v>
      </c>
      <c r="C28" s="16" t="s">
        <v>140</v>
      </c>
      <c r="D28" s="20" t="n">
        <v>0</v>
      </c>
      <c r="E28" s="21" t="str">
        <f aca="false">IF(ABS(B28-D28)&lt;=0.5,"OK","DIVERSO")</f>
        <v>OK</v>
      </c>
      <c r="F28" s="16" t="s">
        <v>361</v>
      </c>
    </row>
    <row r="29" customFormat="false" ht="15" hidden="false" customHeight="true" outlineLevel="0" collapsed="false"/>
    <row r="30" customFormat="false" ht="15" hidden="false" customHeight="true" outlineLevel="0" collapsed="false">
      <c r="A30" s="13" t="s">
        <v>380</v>
      </c>
      <c r="B30" s="13"/>
      <c r="C30" s="13"/>
      <c r="D30" s="13"/>
      <c r="E30" s="13"/>
      <c r="F30" s="13"/>
    </row>
    <row r="31" customFormat="false" ht="15" hidden="false" customHeight="true" outlineLevel="0" collapsed="false">
      <c r="A31" s="22" t="s">
        <v>381</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382</v>
      </c>
      <c r="B33" s="19" t="n">
        <f aca="false">Cap_02!$B$20</f>
        <v>240000</v>
      </c>
      <c r="C33" s="16" t="s">
        <v>140</v>
      </c>
      <c r="D33" s="17"/>
      <c r="E33" s="17"/>
      <c r="F33" s="16" t="s">
        <v>361</v>
      </c>
    </row>
    <row r="34" customFormat="false" ht="15" hidden="false" customHeight="true" outlineLevel="0" collapsed="false">
      <c r="A34" s="14" t="s">
        <v>383</v>
      </c>
      <c r="B34" s="15" t="n">
        <v>12000</v>
      </c>
      <c r="C34" s="16" t="s">
        <v>384</v>
      </c>
      <c r="D34" s="17"/>
      <c r="E34" s="17"/>
      <c r="F34" s="16" t="s">
        <v>361</v>
      </c>
    </row>
    <row r="35" customFormat="false" ht="15" hidden="false" customHeight="true" outlineLevel="0" collapsed="false">
      <c r="A35" s="14" t="s">
        <v>385</v>
      </c>
      <c r="B35" s="19" t="n">
        <f aca="false">Cap_02!$B$23</f>
        <v>180000</v>
      </c>
      <c r="C35" s="16" t="s">
        <v>140</v>
      </c>
      <c r="D35" s="17"/>
      <c r="E35" s="17"/>
      <c r="F35" s="16" t="s">
        <v>361</v>
      </c>
    </row>
    <row r="36" customFormat="false" ht="15" hidden="false" customHeight="true" outlineLevel="0" collapsed="false">
      <c r="A36" s="14" t="s">
        <v>386</v>
      </c>
      <c r="B36" s="15" t="n">
        <v>6000</v>
      </c>
      <c r="C36" s="16" t="s">
        <v>387</v>
      </c>
      <c r="D36" s="17"/>
      <c r="E36" s="17"/>
      <c r="F36" s="16" t="s">
        <v>361</v>
      </c>
    </row>
    <row r="37" customFormat="false" ht="15" hidden="false" customHeight="true" outlineLevel="0" collapsed="false">
      <c r="A37" s="14" t="s">
        <v>388</v>
      </c>
      <c r="B37" s="19" t="n">
        <f aca="false">Cap_02!$B$26</f>
        <v>150000</v>
      </c>
      <c r="C37" s="16" t="s">
        <v>140</v>
      </c>
      <c r="D37" s="17"/>
      <c r="E37" s="17"/>
      <c r="F37" s="16" t="s">
        <v>361</v>
      </c>
    </row>
    <row r="38" customFormat="false" ht="15" hidden="false" customHeight="true" outlineLevel="0" collapsed="false">
      <c r="A38" s="14" t="s">
        <v>389</v>
      </c>
      <c r="B38" s="15" t="n">
        <v>7500</v>
      </c>
      <c r="C38" s="16" t="s">
        <v>144</v>
      </c>
      <c r="D38" s="17"/>
      <c r="E38" s="17"/>
      <c r="F38" s="16" t="s">
        <v>361</v>
      </c>
    </row>
    <row r="39" customFormat="false" ht="15" hidden="false" customHeight="true" outlineLevel="0" collapsed="false">
      <c r="A39" s="14" t="s">
        <v>390</v>
      </c>
      <c r="B39" s="19" t="n">
        <f aca="false">$B$33+$B$35+$B$37</f>
        <v>570000</v>
      </c>
      <c r="C39" s="16" t="s">
        <v>140</v>
      </c>
      <c r="D39" s="20" t="n">
        <v>570000</v>
      </c>
      <c r="E39" s="21" t="str">
        <f aca="false">IF(ABS(B39-D39)&lt;=0.5,"OK","DIVERSO")</f>
        <v>OK</v>
      </c>
      <c r="F39" s="16" t="s">
        <v>361</v>
      </c>
    </row>
    <row r="40" customFormat="false" ht="15" hidden="false" customHeight="true" outlineLevel="0" collapsed="false">
      <c r="A40" s="14" t="s">
        <v>391</v>
      </c>
      <c r="B40" s="19" t="n">
        <f aca="false">$B$39-Impresa_guida!$B$23</f>
        <v>0</v>
      </c>
      <c r="C40" s="16" t="s">
        <v>140</v>
      </c>
      <c r="D40" s="20" t="n">
        <v>0</v>
      </c>
      <c r="E40" s="21" t="str">
        <f aca="false">IF(ABS(B40-D40)&lt;=0.5,"OK","DIVERSO")</f>
        <v>OK</v>
      </c>
      <c r="F40" s="16" t="s">
        <v>124</v>
      </c>
    </row>
    <row r="41" customFormat="false" ht="15" hidden="false" customHeight="true" outlineLevel="0" collapsed="false"/>
    <row r="42" customFormat="false" ht="15" hidden="false" customHeight="true" outlineLevel="0" collapsed="false">
      <c r="A42" s="13" t="s">
        <v>392</v>
      </c>
      <c r="B42" s="13"/>
      <c r="C42" s="13"/>
      <c r="D42" s="13"/>
      <c r="E42" s="13"/>
      <c r="F42" s="13"/>
    </row>
    <row r="43" customFormat="false" ht="15" hidden="false" customHeight="true" outlineLevel="0" collapsed="false">
      <c r="A43" s="22" t="s">
        <v>393</v>
      </c>
      <c r="B43" s="22"/>
      <c r="C43" s="22"/>
      <c r="D43" s="22"/>
      <c r="E43" s="22"/>
      <c r="F43" s="22"/>
    </row>
    <row r="44" customFormat="false" ht="15" hidden="false" customHeight="true" outlineLevel="0" collapsed="false">
      <c r="A44" s="6" t="s">
        <v>116</v>
      </c>
      <c r="B44" s="6" t="s">
        <v>117</v>
      </c>
      <c r="C44" s="6" t="s">
        <v>118</v>
      </c>
      <c r="D44" s="6" t="s">
        <v>119</v>
      </c>
      <c r="E44" s="6" t="s">
        <v>120</v>
      </c>
      <c r="F44" s="6" t="s">
        <v>121</v>
      </c>
    </row>
    <row r="45" customFormat="false" ht="15" hidden="false" customHeight="true" outlineLevel="0" collapsed="false">
      <c r="A45" s="14" t="s">
        <v>394</v>
      </c>
      <c r="B45" s="15" t="n">
        <v>46000</v>
      </c>
      <c r="C45" s="16" t="s">
        <v>140</v>
      </c>
      <c r="D45" s="17"/>
      <c r="E45" s="17"/>
      <c r="F45" s="16" t="s">
        <v>361</v>
      </c>
    </row>
    <row r="46" customFormat="false" ht="15" hidden="false" customHeight="true" outlineLevel="0" collapsed="false">
      <c r="A46" s="14" t="s">
        <v>395</v>
      </c>
      <c r="B46" s="19" t="n">
        <f aca="false">$B$45-Impresa_guida!$B$25</f>
        <v>0</v>
      </c>
      <c r="C46" s="16" t="s">
        <v>140</v>
      </c>
      <c r="D46" s="20" t="n">
        <v>0</v>
      </c>
      <c r="E46" s="21" t="str">
        <f aca="false">IF(ABS(B46-D46)&lt;=0.5,"OK","DIVERSO")</f>
        <v>OK</v>
      </c>
      <c r="F46" s="16" t="s">
        <v>124</v>
      </c>
    </row>
    <row r="47" customFormat="false" ht="15" hidden="false" customHeight="true" outlineLevel="0" collapsed="false"/>
    <row r="48" customFormat="false" ht="15" hidden="false" customHeight="true" outlineLevel="0" collapsed="false">
      <c r="A48" s="13" t="s">
        <v>396</v>
      </c>
      <c r="B48" s="13"/>
      <c r="C48" s="13"/>
      <c r="D48" s="13"/>
      <c r="E48" s="13"/>
      <c r="F48" s="13"/>
    </row>
    <row r="49" customFormat="false" ht="15" hidden="false" customHeight="true" outlineLevel="0" collapsed="false">
      <c r="A49" s="22" t="s">
        <v>397</v>
      </c>
      <c r="B49" s="22"/>
      <c r="C49" s="22"/>
      <c r="D49" s="22"/>
      <c r="E49" s="22"/>
      <c r="F49" s="22"/>
    </row>
    <row r="50" customFormat="false" ht="15" hidden="false" customHeight="true" outlineLevel="0" collapsed="false">
      <c r="A50" s="6" t="s">
        <v>116</v>
      </c>
      <c r="B50" s="6" t="s">
        <v>117</v>
      </c>
      <c r="C50" s="6" t="s">
        <v>118</v>
      </c>
      <c r="D50" s="6" t="s">
        <v>119</v>
      </c>
      <c r="E50" s="6" t="s">
        <v>120</v>
      </c>
      <c r="F50" s="6" t="s">
        <v>121</v>
      </c>
    </row>
    <row r="51" customFormat="false" ht="15" hidden="false" customHeight="true" outlineLevel="0" collapsed="false">
      <c r="A51" s="14" t="s">
        <v>398</v>
      </c>
      <c r="B51" s="19" t="n">
        <f aca="false">$B$27+$B$39+$B$45</f>
        <v>736000</v>
      </c>
      <c r="C51" s="16" t="s">
        <v>140</v>
      </c>
      <c r="D51" s="20" t="n">
        <v>736000</v>
      </c>
      <c r="E51" s="21" t="str">
        <f aca="false">IF(ABS(B51-D51)&lt;=0.5,"OK","DIVERSO")</f>
        <v>OK</v>
      </c>
      <c r="F51" s="16" t="s">
        <v>361</v>
      </c>
    </row>
    <row r="52" customFormat="false" ht="15" hidden="false" customHeight="true" outlineLevel="0" collapsed="false">
      <c r="A52" s="14" t="s">
        <v>399</v>
      </c>
      <c r="B52" s="19" t="n">
        <f aca="false">$B$51-Impresa_guida!$B$40</f>
        <v>0</v>
      </c>
      <c r="C52" s="16" t="s">
        <v>140</v>
      </c>
      <c r="D52" s="20" t="n">
        <v>0</v>
      </c>
      <c r="E52" s="21" t="str">
        <f aca="false">IF(ABS(B52-D52)&lt;=0.5,"OK","DIVERSO")</f>
        <v>OK</v>
      </c>
      <c r="F52" s="16" t="s">
        <v>361</v>
      </c>
    </row>
    <row r="53" customFormat="false" ht="15" hidden="false" customHeight="true" outlineLevel="0" collapsed="false">
      <c r="A53" s="14" t="s">
        <v>400</v>
      </c>
      <c r="B53" s="19" t="n">
        <f aca="false">Impresa_guida!$B$38</f>
        <v>3000</v>
      </c>
      <c r="C53" s="16" t="s">
        <v>144</v>
      </c>
      <c r="D53" s="20" t="n">
        <v>3000</v>
      </c>
      <c r="E53" s="21" t="str">
        <f aca="false">IF(ABS(B53-D53)&lt;=0.5,"OK","DIVERSO")</f>
        <v>OK</v>
      </c>
      <c r="F53" s="16" t="s">
        <v>361</v>
      </c>
    </row>
    <row r="54" customFormat="false" ht="15" hidden="false" customHeight="true" outlineLevel="0" collapsed="false">
      <c r="A54" s="14" t="s">
        <v>401</v>
      </c>
      <c r="B54" s="19" t="n">
        <f aca="false">Impresa_guida!$B$27</f>
        <v>28</v>
      </c>
      <c r="C54" s="16" t="s">
        <v>146</v>
      </c>
      <c r="D54" s="20" t="n">
        <v>28</v>
      </c>
      <c r="E54" s="21" t="str">
        <f aca="false">IF(ABS(B54-D54)&lt;=0.5,"OK","DIVERSO")</f>
        <v>OK</v>
      </c>
      <c r="F54" s="16" t="s">
        <v>361</v>
      </c>
    </row>
    <row r="55" customFormat="false" ht="15" hidden="false" customHeight="true" outlineLevel="0" collapsed="false">
      <c r="A55" s="14" t="s">
        <v>402</v>
      </c>
      <c r="B55" s="19" t="n">
        <f aca="false">$B$53*$B$54</f>
        <v>84000</v>
      </c>
      <c r="C55" s="16" t="s">
        <v>140</v>
      </c>
      <c r="D55" s="20" t="n">
        <v>84000</v>
      </c>
      <c r="E55" s="21" t="str">
        <f aca="false">IF(ABS(B55-D55)&lt;=0.5,"OK","DIVERSO")</f>
        <v>OK</v>
      </c>
      <c r="F55" s="16" t="s">
        <v>361</v>
      </c>
    </row>
    <row r="56" customFormat="false" ht="15" hidden="false" customHeight="true" outlineLevel="0" collapsed="false">
      <c r="A56" s="14" t="s">
        <v>403</v>
      </c>
      <c r="B56" s="19" t="n">
        <f aca="false">$B$51+$B$55</f>
        <v>820000</v>
      </c>
      <c r="C56" s="16" t="s">
        <v>140</v>
      </c>
      <c r="D56" s="20" t="n">
        <v>820000</v>
      </c>
      <c r="E56" s="21" t="str">
        <f aca="false">IF(ABS(B56-D56)&lt;=0.5,"OK","DIVERSO")</f>
        <v>OK</v>
      </c>
      <c r="F56" s="16" t="s">
        <v>361</v>
      </c>
    </row>
    <row r="57" customFormat="false" ht="15" hidden="false" customHeight="true" outlineLevel="0" collapsed="false">
      <c r="A57" s="14" t="s">
        <v>404</v>
      </c>
      <c r="B57" s="19" t="n">
        <f aca="false">$B$56-Impresa_guida!$B$41</f>
        <v>0</v>
      </c>
      <c r="C57" s="16" t="s">
        <v>140</v>
      </c>
      <c r="D57" s="20" t="n">
        <v>0</v>
      </c>
      <c r="E57" s="21" t="str">
        <f aca="false">IF(ABS(B57-D57)&lt;=0.5,"OK","DIVERSO")</f>
        <v>OK</v>
      </c>
      <c r="F57" s="16" t="s">
        <v>361</v>
      </c>
    </row>
    <row r="58" customFormat="false" ht="15" hidden="false" customHeight="true" outlineLevel="0" collapsed="false"/>
    <row r="59" customFormat="false" ht="15" hidden="false" customHeight="true" outlineLevel="0" collapsed="false">
      <c r="A59" s="13" t="s">
        <v>405</v>
      </c>
      <c r="B59" s="13"/>
      <c r="C59" s="13"/>
      <c r="D59" s="13"/>
      <c r="E59" s="13"/>
      <c r="F59" s="13"/>
    </row>
    <row r="60" customFormat="false" ht="15" hidden="false" customHeight="true" outlineLevel="0" collapsed="false">
      <c r="A60" s="22" t="s">
        <v>406</v>
      </c>
      <c r="B60" s="22"/>
      <c r="C60" s="22"/>
      <c r="D60" s="22"/>
      <c r="E60" s="22"/>
      <c r="F60" s="22"/>
    </row>
    <row r="61" customFormat="false" ht="15" hidden="false" customHeight="true" outlineLevel="0" collapsed="false">
      <c r="A61" s="6" t="s">
        <v>116</v>
      </c>
      <c r="B61" s="6" t="s">
        <v>117</v>
      </c>
      <c r="C61" s="6" t="s">
        <v>118</v>
      </c>
      <c r="D61" s="6" t="s">
        <v>119</v>
      </c>
      <c r="E61" s="6" t="s">
        <v>120</v>
      </c>
      <c r="F61" s="6" t="s">
        <v>121</v>
      </c>
    </row>
    <row r="62" customFormat="false" ht="15" hidden="false" customHeight="true" outlineLevel="0" collapsed="false">
      <c r="A62" s="14" t="s">
        <v>407</v>
      </c>
      <c r="B62" s="19" t="n">
        <f aca="false">Cap_02!$B$10</f>
        <v>74000</v>
      </c>
      <c r="C62" s="16" t="s">
        <v>140</v>
      </c>
      <c r="D62" s="17"/>
      <c r="E62" s="17"/>
      <c r="F62" s="16" t="s">
        <v>361</v>
      </c>
    </row>
    <row r="63" customFormat="false" ht="15" hidden="false" customHeight="true" outlineLevel="0" collapsed="false">
      <c r="A63" s="14" t="s">
        <v>408</v>
      </c>
      <c r="B63" s="19" t="n">
        <f aca="false">Cap_02!$B$9</f>
        <v>46000</v>
      </c>
      <c r="C63" s="16" t="s">
        <v>140</v>
      </c>
      <c r="D63" s="17"/>
      <c r="E63" s="17"/>
      <c r="F63" s="16" t="s">
        <v>361</v>
      </c>
    </row>
    <row r="64" customFormat="false" ht="15" hidden="false" customHeight="true" outlineLevel="0" collapsed="false">
      <c r="A64" s="14" t="s">
        <v>409</v>
      </c>
      <c r="B64" s="19" t="n">
        <f aca="false">$B$62+$B$63</f>
        <v>120000</v>
      </c>
      <c r="C64" s="16" t="s">
        <v>140</v>
      </c>
      <c r="D64" s="20" t="n">
        <v>120000</v>
      </c>
      <c r="E64" s="21" t="str">
        <f aca="false">IF(ABS(B64-D64)&lt;=0.5,"OK","DIVERSO")</f>
        <v>OK</v>
      </c>
      <c r="F64" s="16" t="s">
        <v>361</v>
      </c>
    </row>
    <row r="65" customFormat="false" ht="15" hidden="false" customHeight="true" outlineLevel="0" collapsed="false">
      <c r="A65" s="14" t="s">
        <v>410</v>
      </c>
      <c r="B65" s="19" t="n">
        <f aca="false">$B$64-$B$27</f>
        <v>0</v>
      </c>
      <c r="C65" s="16" t="s">
        <v>140</v>
      </c>
      <c r="D65" s="20" t="n">
        <v>0</v>
      </c>
      <c r="E65" s="21" t="str">
        <f aca="false">IF(ABS(B65-D65)&lt;=0.5,"OK","DIVERSO")</f>
        <v>OK</v>
      </c>
      <c r="F65" s="16" t="s">
        <v>361</v>
      </c>
    </row>
  </sheetData>
  <mergeCells count="14">
    <mergeCell ref="A1:F1"/>
    <mergeCell ref="A4:F4"/>
    <mergeCell ref="A6:F6"/>
    <mergeCell ref="A7:F7"/>
    <mergeCell ref="A19:F19"/>
    <mergeCell ref="A20:F20"/>
    <mergeCell ref="A30:F30"/>
    <mergeCell ref="A31:F31"/>
    <mergeCell ref="A42:F42"/>
    <mergeCell ref="A43:F43"/>
    <mergeCell ref="A48:F48"/>
    <mergeCell ref="A49:F49"/>
    <mergeCell ref="A59:F59"/>
    <mergeCell ref="A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32</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411</v>
      </c>
      <c r="B4" s="5"/>
      <c r="C4" s="5"/>
      <c r="D4" s="5"/>
      <c r="E4" s="5"/>
      <c r="F4" s="5"/>
    </row>
    <row r="5" customFormat="false" ht="15" hidden="false" customHeight="true" outlineLevel="0" collapsed="false"/>
    <row r="6" customFormat="false" ht="15" hidden="false" customHeight="true" outlineLevel="0" collapsed="false">
      <c r="A6" s="13" t="s">
        <v>412</v>
      </c>
      <c r="B6" s="13"/>
      <c r="C6" s="13"/>
      <c r="D6" s="13"/>
      <c r="E6" s="13"/>
      <c r="F6" s="13"/>
    </row>
    <row r="7" customFormat="false" ht="15" hidden="false" customHeight="true" outlineLevel="0" collapsed="false">
      <c r="A7" s="22" t="s">
        <v>413</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414</v>
      </c>
      <c r="B9" s="15" t="n">
        <v>240000</v>
      </c>
      <c r="C9" s="16" t="s">
        <v>140</v>
      </c>
      <c r="D9" s="17"/>
      <c r="E9" s="17"/>
      <c r="F9" s="16" t="s">
        <v>415</v>
      </c>
    </row>
    <row r="10" customFormat="false" ht="15" hidden="false" customHeight="true" outlineLevel="0" collapsed="false">
      <c r="A10" s="14" t="s">
        <v>416</v>
      </c>
      <c r="B10" s="15" t="n">
        <v>12000</v>
      </c>
      <c r="C10" s="16" t="s">
        <v>144</v>
      </c>
      <c r="D10" s="17"/>
      <c r="E10" s="17"/>
      <c r="F10" s="16" t="s">
        <v>415</v>
      </c>
    </row>
    <row r="11" customFormat="false" ht="15" hidden="false" customHeight="true" outlineLevel="0" collapsed="false">
      <c r="A11" s="14" t="s">
        <v>417</v>
      </c>
      <c r="B11" s="23" t="n">
        <f aca="false">$B$9/$B$10</f>
        <v>20</v>
      </c>
      <c r="C11" s="16" t="s">
        <v>146</v>
      </c>
      <c r="D11" s="24" t="n">
        <v>20</v>
      </c>
      <c r="E11" s="21" t="str">
        <f aca="false">IF(ABS(B11-D11)&lt;=0.005,"OK","DIVERSO")</f>
        <v>OK</v>
      </c>
      <c r="F11" s="16" t="s">
        <v>415</v>
      </c>
    </row>
    <row r="12" customFormat="false" ht="15" hidden="false" customHeight="true" outlineLevel="0" collapsed="false">
      <c r="A12" s="14" t="s">
        <v>418</v>
      </c>
      <c r="B12" s="15" t="n">
        <v>150</v>
      </c>
      <c r="C12" s="16" t="s">
        <v>144</v>
      </c>
      <c r="D12" s="17"/>
      <c r="E12" s="17"/>
      <c r="F12" s="16" t="s">
        <v>415</v>
      </c>
    </row>
    <row r="13" customFormat="false" ht="15" hidden="false" customHeight="true" outlineLevel="0" collapsed="false">
      <c r="A13" s="14" t="s">
        <v>419</v>
      </c>
      <c r="B13" s="19" t="n">
        <f aca="false">$B$11*$B$12</f>
        <v>3000</v>
      </c>
      <c r="C13" s="16" t="s">
        <v>140</v>
      </c>
      <c r="D13" s="20" t="n">
        <v>3000</v>
      </c>
      <c r="E13" s="21" t="str">
        <f aca="false">IF(ABS(B13-D13)&lt;=0.5,"OK","DIVERSO")</f>
        <v>OK</v>
      </c>
      <c r="F13" s="16" t="s">
        <v>415</v>
      </c>
    </row>
    <row r="14" customFormat="false" ht="15" hidden="false" customHeight="true" outlineLevel="0" collapsed="false"/>
    <row r="15" customFormat="false" ht="15" hidden="false" customHeight="true" outlineLevel="0" collapsed="false">
      <c r="A15" s="13" t="s">
        <v>420</v>
      </c>
      <c r="B15" s="13"/>
      <c r="C15" s="13"/>
      <c r="D15" s="13"/>
      <c r="E15" s="13"/>
      <c r="F15" s="13"/>
    </row>
    <row r="16" customFormat="false" ht="15" hidden="false" customHeight="true" outlineLevel="0" collapsed="false">
      <c r="A16" s="22" t="s">
        <v>421</v>
      </c>
      <c r="B16" s="22"/>
      <c r="C16" s="22"/>
      <c r="D16" s="22"/>
      <c r="E16" s="22"/>
      <c r="F16" s="22"/>
    </row>
    <row r="17" customFormat="false" ht="15" hidden="false" customHeight="true" outlineLevel="0" collapsed="false">
      <c r="A17" s="6" t="s">
        <v>116</v>
      </c>
      <c r="B17" s="6" t="s">
        <v>117</v>
      </c>
      <c r="C17" s="6" t="s">
        <v>118</v>
      </c>
      <c r="D17" s="6" t="s">
        <v>119</v>
      </c>
      <c r="E17" s="6" t="s">
        <v>120</v>
      </c>
      <c r="F17" s="6" t="s">
        <v>121</v>
      </c>
    </row>
    <row r="18" customFormat="false" ht="15" hidden="false" customHeight="true" outlineLevel="0" collapsed="false">
      <c r="A18" s="14" t="s">
        <v>422</v>
      </c>
      <c r="B18" s="15" t="n">
        <v>50000</v>
      </c>
      <c r="C18" s="16" t="s">
        <v>140</v>
      </c>
      <c r="D18" s="17"/>
      <c r="E18" s="17"/>
      <c r="F18" s="16" t="s">
        <v>415</v>
      </c>
    </row>
    <row r="19" customFormat="false" ht="15" hidden="false" customHeight="true" outlineLevel="0" collapsed="false">
      <c r="A19" s="14" t="s">
        <v>423</v>
      </c>
      <c r="B19" s="15" t="n">
        <v>35000</v>
      </c>
      <c r="C19" s="16" t="s">
        <v>140</v>
      </c>
      <c r="D19" s="17"/>
      <c r="E19" s="17"/>
      <c r="F19" s="16" t="s">
        <v>415</v>
      </c>
    </row>
    <row r="20" customFormat="false" ht="15" hidden="false" customHeight="true" outlineLevel="0" collapsed="false">
      <c r="A20" s="14" t="s">
        <v>424</v>
      </c>
      <c r="B20" s="15" t="n">
        <v>180000</v>
      </c>
      <c r="C20" s="16" t="s">
        <v>140</v>
      </c>
      <c r="D20" s="17"/>
      <c r="E20" s="17"/>
      <c r="F20" s="16" t="s">
        <v>415</v>
      </c>
    </row>
    <row r="21" customFormat="false" ht="15" hidden="false" customHeight="true" outlineLevel="0" collapsed="false">
      <c r="A21" s="14" t="s">
        <v>425</v>
      </c>
      <c r="B21" s="15" t="n">
        <v>120000</v>
      </c>
      <c r="C21" s="16" t="s">
        <v>140</v>
      </c>
      <c r="D21" s="17"/>
      <c r="E21" s="17"/>
      <c r="F21" s="16" t="s">
        <v>415</v>
      </c>
    </row>
    <row r="22" customFormat="false" ht="15" hidden="false" customHeight="true" outlineLevel="0" collapsed="false">
      <c r="A22" s="14" t="s">
        <v>426</v>
      </c>
      <c r="B22" s="19" t="n">
        <f aca="false">$B$18+$B$19+$B$20+$B$21</f>
        <v>385000</v>
      </c>
      <c r="C22" s="16" t="s">
        <v>140</v>
      </c>
      <c r="D22" s="20" t="n">
        <v>385000</v>
      </c>
      <c r="E22" s="21" t="str">
        <f aca="false">IF(ABS(B22-D22)&lt;=0.5,"OK","DIVERSO")</f>
        <v>OK</v>
      </c>
      <c r="F22" s="16" t="s">
        <v>415</v>
      </c>
    </row>
    <row r="23" customFormat="false" ht="15" hidden="false" customHeight="true" outlineLevel="0" collapsed="false">
      <c r="A23" s="14" t="s">
        <v>427</v>
      </c>
      <c r="B23" s="25" t="n">
        <v>0.25</v>
      </c>
      <c r="C23" s="16" t="s">
        <v>319</v>
      </c>
      <c r="D23" s="17"/>
      <c r="E23" s="17"/>
      <c r="F23" s="16" t="s">
        <v>415</v>
      </c>
    </row>
    <row r="24" customFormat="false" ht="15" hidden="false" customHeight="true" outlineLevel="0" collapsed="false">
      <c r="A24" s="14" t="s">
        <v>428</v>
      </c>
      <c r="B24" s="25" t="n">
        <v>0.45</v>
      </c>
      <c r="C24" s="16" t="s">
        <v>319</v>
      </c>
      <c r="D24" s="17"/>
      <c r="E24" s="17"/>
      <c r="F24" s="16" t="s">
        <v>415</v>
      </c>
    </row>
    <row r="25" customFormat="false" ht="15" hidden="false" customHeight="true" outlineLevel="0" collapsed="false">
      <c r="A25" s="14" t="s">
        <v>429</v>
      </c>
      <c r="B25" s="25" t="n">
        <v>0.3</v>
      </c>
      <c r="C25" s="16" t="s">
        <v>319</v>
      </c>
      <c r="D25" s="17"/>
      <c r="E25" s="17"/>
      <c r="F25" s="16" t="s">
        <v>415</v>
      </c>
    </row>
    <row r="26" customFormat="false" ht="15" hidden="false" customHeight="true" outlineLevel="0" collapsed="false">
      <c r="A26" s="14" t="s">
        <v>430</v>
      </c>
      <c r="B26" s="25" t="n">
        <v>0.2</v>
      </c>
      <c r="C26" s="16" t="s">
        <v>319</v>
      </c>
      <c r="D26" s="17"/>
      <c r="E26" s="17"/>
      <c r="F26" s="16" t="s">
        <v>415</v>
      </c>
    </row>
    <row r="27" customFormat="false" ht="15" hidden="false" customHeight="true" outlineLevel="0" collapsed="false">
      <c r="A27" s="14" t="s">
        <v>431</v>
      </c>
      <c r="B27" s="25" t="n">
        <v>0.2</v>
      </c>
      <c r="C27" s="16" t="s">
        <v>319</v>
      </c>
      <c r="D27" s="17"/>
      <c r="E27" s="17"/>
      <c r="F27" s="16" t="s">
        <v>415</v>
      </c>
    </row>
    <row r="28" customFormat="false" ht="15" hidden="false" customHeight="true" outlineLevel="0" collapsed="false">
      <c r="A28" s="14" t="s">
        <v>432</v>
      </c>
      <c r="B28" s="25" t="n">
        <v>0.6</v>
      </c>
      <c r="C28" s="16" t="s">
        <v>319</v>
      </c>
      <c r="D28" s="17"/>
      <c r="E28" s="17"/>
      <c r="F28" s="16" t="s">
        <v>415</v>
      </c>
    </row>
    <row r="29" customFormat="false" ht="15" hidden="false" customHeight="true" outlineLevel="0" collapsed="false"/>
    <row r="30" customFormat="false" ht="15" hidden="false" customHeight="true" outlineLevel="0" collapsed="false">
      <c r="A30" s="13" t="s">
        <v>433</v>
      </c>
      <c r="B30" s="13"/>
      <c r="C30" s="13"/>
      <c r="D30" s="13"/>
      <c r="E30" s="13"/>
      <c r="F30" s="13"/>
    </row>
    <row r="31" customFormat="false" ht="15" hidden="false" customHeight="true" outlineLevel="0" collapsed="false">
      <c r="A31" s="22" t="s">
        <v>434</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435</v>
      </c>
      <c r="B33" s="26" t="n">
        <f aca="false">$B$24/($B$24+$B$25)</f>
        <v>0.6</v>
      </c>
      <c r="C33" s="16" t="s">
        <v>319</v>
      </c>
      <c r="D33" s="27" t="n">
        <v>0.6</v>
      </c>
      <c r="E33" s="21" t="str">
        <f aca="false">IF(ABS(B33-D33)&lt;=0.0005,"OK","DIVERSO")</f>
        <v>OK</v>
      </c>
      <c r="F33" s="16" t="s">
        <v>415</v>
      </c>
    </row>
    <row r="34" customFormat="false" ht="15" hidden="false" customHeight="true" outlineLevel="0" collapsed="false">
      <c r="A34" s="14" t="s">
        <v>436</v>
      </c>
      <c r="B34" s="26" t="n">
        <f aca="false">$B$25/($B$24+$B$25)</f>
        <v>0.4</v>
      </c>
      <c r="C34" s="16" t="s">
        <v>319</v>
      </c>
      <c r="D34" s="27" t="n">
        <v>0.4</v>
      </c>
      <c r="E34" s="21" t="str">
        <f aca="false">IF(ABS(B34-D34)&lt;=0.0005,"OK","DIVERSO")</f>
        <v>OK</v>
      </c>
      <c r="F34" s="16" t="s">
        <v>415</v>
      </c>
    </row>
    <row r="35" customFormat="false" ht="15" hidden="false" customHeight="true" outlineLevel="0" collapsed="false">
      <c r="A35" s="14" t="s">
        <v>428</v>
      </c>
      <c r="B35" s="19" t="n">
        <f aca="false">$B$18*$B$33</f>
        <v>30000</v>
      </c>
      <c r="C35" s="16" t="s">
        <v>140</v>
      </c>
      <c r="D35" s="20" t="n">
        <v>30000</v>
      </c>
      <c r="E35" s="21" t="str">
        <f aca="false">IF(ABS(B35-D35)&lt;=0.5,"OK","DIVERSO")</f>
        <v>OK</v>
      </c>
      <c r="F35" s="16" t="s">
        <v>415</v>
      </c>
    </row>
    <row r="36" customFormat="false" ht="15" hidden="false" customHeight="true" outlineLevel="0" collapsed="false">
      <c r="A36" s="14" t="s">
        <v>429</v>
      </c>
      <c r="B36" s="19" t="n">
        <f aca="false">$B$18*$B$34</f>
        <v>20000</v>
      </c>
      <c r="C36" s="16" t="s">
        <v>140</v>
      </c>
      <c r="D36" s="20" t="n">
        <v>20000</v>
      </c>
      <c r="E36" s="21" t="str">
        <f aca="false">IF(ABS(B36-D36)&lt;=0.5,"OK","DIVERSO")</f>
        <v>OK</v>
      </c>
      <c r="F36" s="16" t="s">
        <v>415</v>
      </c>
    </row>
    <row r="37" customFormat="false" ht="15" hidden="false" customHeight="true" outlineLevel="0" collapsed="false">
      <c r="A37" s="14" t="s">
        <v>437</v>
      </c>
      <c r="B37" s="26" t="n">
        <f aca="false">$B$27/($B$27+$B$28)</f>
        <v>0.25</v>
      </c>
      <c r="C37" s="16" t="s">
        <v>319</v>
      </c>
      <c r="D37" s="27" t="n">
        <v>0.25</v>
      </c>
      <c r="E37" s="21" t="str">
        <f aca="false">IF(ABS(B37-D37)&lt;=0.0005,"OK","DIVERSO")</f>
        <v>OK</v>
      </c>
      <c r="F37" s="16" t="s">
        <v>415</v>
      </c>
    </row>
    <row r="38" customFormat="false" ht="15" hidden="false" customHeight="true" outlineLevel="0" collapsed="false">
      <c r="A38" s="14" t="s">
        <v>438</v>
      </c>
      <c r="B38" s="26" t="n">
        <f aca="false">$B$28/($B$27+$B$28)</f>
        <v>0.75</v>
      </c>
      <c r="C38" s="16" t="s">
        <v>319</v>
      </c>
      <c r="D38" s="27" t="n">
        <v>0.75</v>
      </c>
      <c r="E38" s="21" t="str">
        <f aca="false">IF(ABS(B38-D38)&lt;=0.0005,"OK","DIVERSO")</f>
        <v>OK</v>
      </c>
      <c r="F38" s="16" t="s">
        <v>415</v>
      </c>
    </row>
    <row r="39" customFormat="false" ht="15" hidden="false" customHeight="true" outlineLevel="0" collapsed="false">
      <c r="A39" s="14" t="s">
        <v>431</v>
      </c>
      <c r="B39" s="19" t="n">
        <f aca="false">$B$19*$B$37</f>
        <v>8750</v>
      </c>
      <c r="C39" s="16" t="s">
        <v>140</v>
      </c>
      <c r="D39" s="20" t="n">
        <v>8750</v>
      </c>
      <c r="E39" s="21" t="str">
        <f aca="false">IF(ABS(B39-D39)&lt;=0.5,"OK","DIVERSO")</f>
        <v>OK</v>
      </c>
      <c r="F39" s="16" t="s">
        <v>415</v>
      </c>
    </row>
    <row r="40" customFormat="false" ht="15" hidden="false" customHeight="true" outlineLevel="0" collapsed="false">
      <c r="A40" s="14" t="s">
        <v>432</v>
      </c>
      <c r="B40" s="19" t="n">
        <f aca="false">$B$19*$B$38</f>
        <v>26250</v>
      </c>
      <c r="C40" s="16" t="s">
        <v>140</v>
      </c>
      <c r="D40" s="20" t="n">
        <v>26250</v>
      </c>
      <c r="E40" s="21" t="str">
        <f aca="false">IF(ABS(B40-D40)&lt;=0.5,"OK","DIVERSO")</f>
        <v>OK</v>
      </c>
      <c r="F40" s="16" t="s">
        <v>415</v>
      </c>
    </row>
    <row r="41" customFormat="false" ht="15" hidden="false" customHeight="true" outlineLevel="0" collapsed="false">
      <c r="A41" s="14" t="s">
        <v>439</v>
      </c>
      <c r="B41" s="19" t="n">
        <f aca="false">$B$20+$B$35+$B$39</f>
        <v>218750</v>
      </c>
      <c r="C41" s="16" t="s">
        <v>140</v>
      </c>
      <c r="D41" s="20" t="n">
        <v>218750</v>
      </c>
      <c r="E41" s="21" t="str">
        <f aca="false">IF(ABS(B41-D41)&lt;=0.5,"OK","DIVERSO")</f>
        <v>OK</v>
      </c>
      <c r="F41" s="16" t="s">
        <v>415</v>
      </c>
    </row>
    <row r="42" customFormat="false" ht="15" hidden="false" customHeight="true" outlineLevel="0" collapsed="false">
      <c r="A42" s="14" t="s">
        <v>440</v>
      </c>
      <c r="B42" s="19" t="n">
        <f aca="false">$B$21+$B$36+$B$40</f>
        <v>166250</v>
      </c>
      <c r="C42" s="16" t="s">
        <v>140</v>
      </c>
      <c r="D42" s="20" t="n">
        <v>166250</v>
      </c>
      <c r="E42" s="21" t="str">
        <f aca="false">IF(ABS(B42-D42)&lt;=0.5,"OK","DIVERSO")</f>
        <v>OK</v>
      </c>
      <c r="F42" s="16" t="s">
        <v>415</v>
      </c>
    </row>
    <row r="43" customFormat="false" ht="15" hidden="false" customHeight="true" outlineLevel="0" collapsed="false">
      <c r="A43" s="14" t="s">
        <v>441</v>
      </c>
      <c r="B43" s="19" t="n">
        <f aca="false">$B$41+$B$42</f>
        <v>385000</v>
      </c>
      <c r="C43" s="16" t="s">
        <v>140</v>
      </c>
      <c r="D43" s="20" t="n">
        <v>385000</v>
      </c>
      <c r="E43" s="21" t="str">
        <f aca="false">IF(ABS(B43-D43)&lt;=0.5,"OK","DIVERSO")</f>
        <v>OK</v>
      </c>
      <c r="F43" s="16" t="s">
        <v>415</v>
      </c>
    </row>
    <row r="44" customFormat="false" ht="15" hidden="false" customHeight="true" outlineLevel="0" collapsed="false"/>
    <row r="45" customFormat="false" ht="15" hidden="false" customHeight="true" outlineLevel="0" collapsed="false">
      <c r="A45" s="13" t="s">
        <v>442</v>
      </c>
      <c r="B45" s="13"/>
      <c r="C45" s="13"/>
      <c r="D45" s="13"/>
      <c r="E45" s="13"/>
      <c r="F45" s="13"/>
    </row>
    <row r="46" customFormat="false" ht="15" hidden="false" customHeight="true" outlineLevel="0" collapsed="false">
      <c r="A46" s="22" t="s">
        <v>443</v>
      </c>
      <c r="B46" s="22"/>
      <c r="C46" s="22"/>
      <c r="D46" s="22"/>
      <c r="E46" s="22"/>
      <c r="F46" s="22"/>
    </row>
    <row r="47" customFormat="false" ht="15" hidden="false" customHeight="true" outlineLevel="0" collapsed="false">
      <c r="A47" s="6" t="s">
        <v>116</v>
      </c>
      <c r="B47" s="6" t="s">
        <v>117</v>
      </c>
      <c r="C47" s="6" t="s">
        <v>118</v>
      </c>
      <c r="D47" s="6" t="s">
        <v>119</v>
      </c>
      <c r="E47" s="6" t="s">
        <v>120</v>
      </c>
      <c r="F47" s="6" t="s">
        <v>121</v>
      </c>
    </row>
    <row r="48" customFormat="false" ht="15" hidden="false" customHeight="true" outlineLevel="0" collapsed="false">
      <c r="A48" s="14" t="s">
        <v>444</v>
      </c>
      <c r="B48" s="19" t="n">
        <f aca="false">$B$18*$B$23</f>
        <v>12500</v>
      </c>
      <c r="C48" s="16" t="s">
        <v>140</v>
      </c>
      <c r="D48" s="20" t="n">
        <v>12500</v>
      </c>
      <c r="E48" s="21" t="str">
        <f aca="false">IF(ABS(B48-D48)&lt;=0.5,"OK","DIVERSO")</f>
        <v>OK</v>
      </c>
      <c r="F48" s="16" t="s">
        <v>415</v>
      </c>
    </row>
    <row r="49" customFormat="false" ht="15" hidden="false" customHeight="true" outlineLevel="0" collapsed="false">
      <c r="A49" s="14" t="s">
        <v>445</v>
      </c>
      <c r="B49" s="19" t="n">
        <f aca="false">$B$19*$B$26</f>
        <v>7000</v>
      </c>
      <c r="C49" s="16" t="s">
        <v>140</v>
      </c>
      <c r="D49" s="20" t="n">
        <v>7000</v>
      </c>
      <c r="E49" s="21" t="str">
        <f aca="false">IF(ABS(B49-D49)&lt;=0.5,"OK","DIVERSO")</f>
        <v>OK</v>
      </c>
      <c r="F49" s="16" t="s">
        <v>415</v>
      </c>
    </row>
    <row r="50" customFormat="false" ht="15" hidden="false" customHeight="true" outlineLevel="0" collapsed="false">
      <c r="A50" s="14" t="s">
        <v>446</v>
      </c>
      <c r="B50" s="28" t="str">
        <f aca="false">IF($B$48&gt;$B$49,"Manutenzione","Servizi energetici")</f>
        <v>Manutenzione</v>
      </c>
      <c r="C50" s="16"/>
      <c r="D50" s="29" t="s">
        <v>447</v>
      </c>
      <c r="E50" s="21" t="str">
        <f aca="false">IF(B50=D50,"OK","DIVERSO")</f>
        <v>OK</v>
      </c>
      <c r="F50" s="16" t="s">
        <v>415</v>
      </c>
    </row>
    <row r="51" customFormat="false" ht="15" hidden="false" customHeight="true" outlineLevel="0" collapsed="false">
      <c r="A51" s="14" t="s">
        <v>428</v>
      </c>
      <c r="B51" s="19" t="n">
        <f aca="false">$B$18*$B$24</f>
        <v>22500</v>
      </c>
      <c r="C51" s="16" t="s">
        <v>140</v>
      </c>
      <c r="D51" s="20" t="n">
        <v>22500</v>
      </c>
      <c r="E51" s="21" t="str">
        <f aca="false">IF(ABS(B51-D51)&lt;=0.5,"OK","DIVERSO")</f>
        <v>OK</v>
      </c>
      <c r="F51" s="16" t="s">
        <v>415</v>
      </c>
    </row>
    <row r="52" customFormat="false" ht="15" hidden="false" customHeight="true" outlineLevel="0" collapsed="false">
      <c r="A52" s="14" t="s">
        <v>429</v>
      </c>
      <c r="B52" s="19" t="n">
        <f aca="false">$B$18*$B$25</f>
        <v>15000</v>
      </c>
      <c r="C52" s="16" t="s">
        <v>140</v>
      </c>
      <c r="D52" s="20" t="n">
        <v>15000</v>
      </c>
      <c r="E52" s="21" t="str">
        <f aca="false">IF(ABS(B52-D52)&lt;=0.5,"OK","DIVERSO")</f>
        <v>OK</v>
      </c>
      <c r="F52" s="16" t="s">
        <v>415</v>
      </c>
    </row>
    <row r="53" customFormat="false" ht="15" hidden="false" customHeight="true" outlineLevel="0" collapsed="false">
      <c r="A53" s="14" t="s">
        <v>448</v>
      </c>
      <c r="B53" s="19" t="n">
        <f aca="false">$B$19+$B$48</f>
        <v>47500</v>
      </c>
      <c r="C53" s="16" t="s">
        <v>140</v>
      </c>
      <c r="D53" s="20" t="n">
        <v>47500</v>
      </c>
      <c r="E53" s="21" t="str">
        <f aca="false">IF(ABS(B53-D53)&lt;=0.5,"OK","DIVERSO")</f>
        <v>OK</v>
      </c>
      <c r="F53" s="16" t="s">
        <v>415</v>
      </c>
    </row>
    <row r="54" customFormat="false" ht="15" hidden="false" customHeight="true" outlineLevel="0" collapsed="false">
      <c r="A54" s="14" t="s">
        <v>431</v>
      </c>
      <c r="B54" s="19" t="n">
        <f aca="false">$B$53*$B$37</f>
        <v>11875</v>
      </c>
      <c r="C54" s="16" t="s">
        <v>140</v>
      </c>
      <c r="D54" s="20" t="n">
        <v>11875</v>
      </c>
      <c r="E54" s="21" t="str">
        <f aca="false">IF(ABS(B54-D54)&lt;=0.5,"OK","DIVERSO")</f>
        <v>OK</v>
      </c>
      <c r="F54" s="16" t="s">
        <v>415</v>
      </c>
    </row>
    <row r="55" customFormat="false" ht="15" hidden="false" customHeight="true" outlineLevel="0" collapsed="false">
      <c r="A55" s="14" t="s">
        <v>432</v>
      </c>
      <c r="B55" s="19" t="n">
        <f aca="false">$B$53*$B$38</f>
        <v>35625</v>
      </c>
      <c r="C55" s="16" t="s">
        <v>140</v>
      </c>
      <c r="D55" s="20" t="n">
        <v>35625</v>
      </c>
      <c r="E55" s="21" t="str">
        <f aca="false">IF(ABS(B55-D55)&lt;=0.5,"OK","DIVERSO")</f>
        <v>OK</v>
      </c>
      <c r="F55" s="16" t="s">
        <v>415</v>
      </c>
    </row>
    <row r="56" customFormat="false" ht="15" hidden="false" customHeight="true" outlineLevel="0" collapsed="false">
      <c r="A56" s="14" t="s">
        <v>449</v>
      </c>
      <c r="B56" s="19" t="n">
        <f aca="false">$B$20+$B$51+$B$54</f>
        <v>214375</v>
      </c>
      <c r="C56" s="16" t="s">
        <v>140</v>
      </c>
      <c r="D56" s="20" t="n">
        <v>214375</v>
      </c>
      <c r="E56" s="21" t="str">
        <f aca="false">IF(ABS(B56-D56)&lt;=0.5,"OK","DIVERSO")</f>
        <v>OK</v>
      </c>
      <c r="F56" s="16" t="s">
        <v>415</v>
      </c>
    </row>
    <row r="57" customFormat="false" ht="15" hidden="false" customHeight="true" outlineLevel="0" collapsed="false">
      <c r="A57" s="14" t="s">
        <v>450</v>
      </c>
      <c r="B57" s="19" t="n">
        <f aca="false">$B$21+$B$52+$B$55</f>
        <v>170625</v>
      </c>
      <c r="C57" s="16" t="s">
        <v>140</v>
      </c>
      <c r="D57" s="20" t="n">
        <v>170625</v>
      </c>
      <c r="E57" s="21" t="str">
        <f aca="false">IF(ABS(B57-D57)&lt;=0.5,"OK","DIVERSO")</f>
        <v>OK</v>
      </c>
      <c r="F57" s="16" t="s">
        <v>415</v>
      </c>
    </row>
    <row r="58" customFormat="false" ht="15" hidden="false" customHeight="true" outlineLevel="0" collapsed="false">
      <c r="A58" s="14" t="s">
        <v>451</v>
      </c>
      <c r="B58" s="19" t="n">
        <f aca="false">$B$56+$B$57</f>
        <v>385000</v>
      </c>
      <c r="C58" s="16" t="s">
        <v>140</v>
      </c>
      <c r="D58" s="20" t="n">
        <v>385000</v>
      </c>
      <c r="E58" s="21" t="str">
        <f aca="false">IF(ABS(B58-D58)&lt;=0.5,"OK","DIVERSO")</f>
        <v>OK</v>
      </c>
      <c r="F58" s="16" t="s">
        <v>415</v>
      </c>
    </row>
    <row r="59" customFormat="false" ht="15" hidden="false" customHeight="true" outlineLevel="0" collapsed="false"/>
    <row r="60" customFormat="false" ht="15" hidden="false" customHeight="true" outlineLevel="0" collapsed="false">
      <c r="A60" s="13" t="s">
        <v>452</v>
      </c>
      <c r="B60" s="13"/>
      <c r="C60" s="13"/>
      <c r="D60" s="13"/>
      <c r="E60" s="13"/>
      <c r="F60" s="13"/>
    </row>
    <row r="61" customFormat="false" ht="15" hidden="false" customHeight="true" outlineLevel="0" collapsed="false">
      <c r="A61" s="22" t="s">
        <v>453</v>
      </c>
      <c r="B61" s="22"/>
      <c r="C61" s="22"/>
      <c r="D61" s="22"/>
      <c r="E61" s="22"/>
      <c r="F61" s="22"/>
    </row>
    <row r="62" customFormat="false" ht="15" hidden="false" customHeight="true" outlineLevel="0" collapsed="false">
      <c r="A62" s="6" t="s">
        <v>116</v>
      </c>
      <c r="B62" s="6" t="s">
        <v>117</v>
      </c>
      <c r="C62" s="6" t="s">
        <v>118</v>
      </c>
      <c r="D62" s="6" t="s">
        <v>119</v>
      </c>
      <c r="E62" s="6" t="s">
        <v>120</v>
      </c>
      <c r="F62" s="6" t="s">
        <v>121</v>
      </c>
    </row>
    <row r="63" customFormat="false" ht="15" hidden="false" customHeight="true" outlineLevel="0" collapsed="false">
      <c r="A63" s="14" t="s">
        <v>454</v>
      </c>
      <c r="B63" s="19" t="n">
        <f aca="false">($B$18+$B$26*$B$19)/(1-$B$26*$B$23)</f>
        <v>60000</v>
      </c>
      <c r="C63" s="16" t="s">
        <v>140</v>
      </c>
      <c r="D63" s="20" t="n">
        <v>60000</v>
      </c>
      <c r="E63" s="21" t="str">
        <f aca="false">IF(ABS(B63-D63)&lt;=0.5,"OK","DIVERSO")</f>
        <v>OK</v>
      </c>
      <c r="F63" s="16" t="s">
        <v>415</v>
      </c>
    </row>
    <row r="64" customFormat="false" ht="15" hidden="false" customHeight="true" outlineLevel="0" collapsed="false">
      <c r="A64" s="14" t="s">
        <v>455</v>
      </c>
      <c r="B64" s="19" t="n">
        <f aca="false">$B$19+$B$23*$B$63</f>
        <v>50000</v>
      </c>
      <c r="C64" s="16" t="s">
        <v>140</v>
      </c>
      <c r="D64" s="20" t="n">
        <v>50000</v>
      </c>
      <c r="E64" s="21" t="str">
        <f aca="false">IF(ABS(B64-D64)&lt;=0.5,"OK","DIVERSO")</f>
        <v>OK</v>
      </c>
      <c r="F64" s="16" t="s">
        <v>415</v>
      </c>
    </row>
    <row r="65" customFormat="false" ht="15" hidden="false" customHeight="true" outlineLevel="0" collapsed="false">
      <c r="A65" s="14" t="s">
        <v>428</v>
      </c>
      <c r="B65" s="19" t="n">
        <f aca="false">$B$63*$B$24</f>
        <v>27000</v>
      </c>
      <c r="C65" s="16" t="s">
        <v>140</v>
      </c>
      <c r="D65" s="20" t="n">
        <v>27000</v>
      </c>
      <c r="E65" s="21" t="str">
        <f aca="false">IF(ABS(B65-D65)&lt;=0.5,"OK","DIVERSO")</f>
        <v>OK</v>
      </c>
      <c r="F65" s="16" t="s">
        <v>415</v>
      </c>
    </row>
    <row r="66" customFormat="false" ht="15" hidden="false" customHeight="true" outlineLevel="0" collapsed="false">
      <c r="A66" s="14" t="s">
        <v>431</v>
      </c>
      <c r="B66" s="19" t="n">
        <f aca="false">$B$64*$B$27</f>
        <v>10000</v>
      </c>
      <c r="C66" s="16" t="s">
        <v>140</v>
      </c>
      <c r="D66" s="20" t="n">
        <v>10000</v>
      </c>
      <c r="E66" s="21" t="str">
        <f aca="false">IF(ABS(B66-D66)&lt;=0.5,"OK","DIVERSO")</f>
        <v>OK</v>
      </c>
      <c r="F66" s="16" t="s">
        <v>415</v>
      </c>
    </row>
    <row r="67" customFormat="false" ht="15" hidden="false" customHeight="true" outlineLevel="0" collapsed="false">
      <c r="A67" s="14" t="s">
        <v>429</v>
      </c>
      <c r="B67" s="19" t="n">
        <f aca="false">$B$63*$B$25</f>
        <v>18000</v>
      </c>
      <c r="C67" s="16" t="s">
        <v>140</v>
      </c>
      <c r="D67" s="20" t="n">
        <v>18000</v>
      </c>
      <c r="E67" s="21" t="str">
        <f aca="false">IF(ABS(B67-D67)&lt;=0.5,"OK","DIVERSO")</f>
        <v>OK</v>
      </c>
      <c r="F67" s="16" t="s">
        <v>415</v>
      </c>
    </row>
    <row r="68" customFormat="false" ht="15" hidden="false" customHeight="true" outlineLevel="0" collapsed="false">
      <c r="A68" s="14" t="s">
        <v>432</v>
      </c>
      <c r="B68" s="19" t="n">
        <f aca="false">$B$64*$B$28</f>
        <v>30000</v>
      </c>
      <c r="C68" s="16" t="s">
        <v>140</v>
      </c>
      <c r="D68" s="20" t="n">
        <v>30000</v>
      </c>
      <c r="E68" s="21" t="str">
        <f aca="false">IF(ABS(B68-D68)&lt;=0.5,"OK","DIVERSO")</f>
        <v>OK</v>
      </c>
      <c r="F68" s="16" t="s">
        <v>415</v>
      </c>
    </row>
    <row r="69" customFormat="false" ht="15" hidden="false" customHeight="true" outlineLevel="0" collapsed="false">
      <c r="A69" s="14" t="s">
        <v>456</v>
      </c>
      <c r="B69" s="19" t="n">
        <f aca="false">$B$63*$B$23</f>
        <v>15000</v>
      </c>
      <c r="C69" s="16" t="s">
        <v>140</v>
      </c>
      <c r="D69" s="20" t="n">
        <v>15000</v>
      </c>
      <c r="E69" s="21" t="str">
        <f aca="false">IF(ABS(B69-D69)&lt;=0.5,"OK","DIVERSO")</f>
        <v>OK</v>
      </c>
      <c r="F69" s="16" t="s">
        <v>415</v>
      </c>
    </row>
    <row r="70" customFormat="false" ht="15" hidden="false" customHeight="true" outlineLevel="0" collapsed="false">
      <c r="A70" s="14" t="s">
        <v>457</v>
      </c>
      <c r="B70" s="19" t="n">
        <f aca="false">$B$64*$B$26</f>
        <v>10000</v>
      </c>
      <c r="C70" s="16" t="s">
        <v>140</v>
      </c>
      <c r="D70" s="20" t="n">
        <v>10000</v>
      </c>
      <c r="E70" s="21" t="str">
        <f aca="false">IF(ABS(B70-D70)&lt;=0.5,"OK","DIVERSO")</f>
        <v>OK</v>
      </c>
      <c r="F70" s="16" t="s">
        <v>415</v>
      </c>
    </row>
    <row r="71" customFormat="false" ht="15" hidden="false" customHeight="true" outlineLevel="0" collapsed="false">
      <c r="A71" s="14" t="s">
        <v>458</v>
      </c>
      <c r="B71" s="19" t="n">
        <f aca="false">$B$65+$B$66+$B$67+$B$68</f>
        <v>85000</v>
      </c>
      <c r="C71" s="16" t="s">
        <v>140</v>
      </c>
      <c r="D71" s="20" t="n">
        <v>85000</v>
      </c>
      <c r="E71" s="21" t="str">
        <f aca="false">IF(ABS(B71-D71)&lt;=0.5,"OK","DIVERSO")</f>
        <v>OK</v>
      </c>
      <c r="F71" s="16" t="s">
        <v>415</v>
      </c>
    </row>
    <row r="72" customFormat="false" ht="15" hidden="false" customHeight="true" outlineLevel="0" collapsed="false">
      <c r="A72" s="14" t="s">
        <v>459</v>
      </c>
      <c r="B72" s="19" t="n">
        <f aca="false">$B$20+$B$65+$B$66</f>
        <v>217000</v>
      </c>
      <c r="C72" s="16" t="s">
        <v>140</v>
      </c>
      <c r="D72" s="20" t="n">
        <v>217000</v>
      </c>
      <c r="E72" s="21" t="str">
        <f aca="false">IF(ABS(B72-D72)&lt;=0.5,"OK","DIVERSO")</f>
        <v>OK</v>
      </c>
      <c r="F72" s="16" t="s">
        <v>415</v>
      </c>
    </row>
    <row r="73" customFormat="false" ht="15" hidden="false" customHeight="true" outlineLevel="0" collapsed="false">
      <c r="A73" s="14" t="s">
        <v>460</v>
      </c>
      <c r="B73" s="19" t="n">
        <f aca="false">$B$21+$B$67+$B$68</f>
        <v>168000</v>
      </c>
      <c r="C73" s="16" t="s">
        <v>140</v>
      </c>
      <c r="D73" s="20" t="n">
        <v>168000</v>
      </c>
      <c r="E73" s="21" t="str">
        <f aca="false">IF(ABS(B73-D73)&lt;=0.5,"OK","DIVERSO")</f>
        <v>OK</v>
      </c>
      <c r="F73" s="16" t="s">
        <v>415</v>
      </c>
    </row>
    <row r="74" customFormat="false" ht="15" hidden="false" customHeight="true" outlineLevel="0" collapsed="false">
      <c r="A74" s="14" t="s">
        <v>461</v>
      </c>
      <c r="B74" s="19" t="n">
        <f aca="false">$B$72+$B$73</f>
        <v>385000</v>
      </c>
      <c r="C74" s="16" t="s">
        <v>140</v>
      </c>
      <c r="D74" s="20" t="n">
        <v>385000</v>
      </c>
      <c r="E74" s="21" t="str">
        <f aca="false">IF(ABS(B74-D74)&lt;=0.5,"OK","DIVERSO")</f>
        <v>OK</v>
      </c>
      <c r="F74" s="16" t="s">
        <v>415</v>
      </c>
    </row>
    <row r="75" customFormat="false" ht="15" hidden="false" customHeight="true" outlineLevel="0" collapsed="false"/>
    <row r="76" customFormat="false" ht="15" hidden="false" customHeight="true" outlineLevel="0" collapsed="false">
      <c r="A76" s="13" t="s">
        <v>462</v>
      </c>
      <c r="B76" s="13"/>
      <c r="C76" s="13"/>
      <c r="D76" s="13"/>
      <c r="E76" s="13"/>
      <c r="F76" s="13"/>
    </row>
    <row r="77" customFormat="false" ht="15" hidden="false" customHeight="true" outlineLevel="0" collapsed="false">
      <c r="A77" s="22" t="s">
        <v>463</v>
      </c>
      <c r="B77" s="22"/>
      <c r="C77" s="22"/>
      <c r="D77" s="22"/>
      <c r="E77" s="22"/>
      <c r="F77" s="22"/>
    </row>
    <row r="78" customFormat="false" ht="15" hidden="false" customHeight="true" outlineLevel="0" collapsed="false">
      <c r="A78" s="6" t="s">
        <v>116</v>
      </c>
      <c r="B78" s="6" t="s">
        <v>117</v>
      </c>
      <c r="C78" s="6" t="s">
        <v>118</v>
      </c>
      <c r="D78" s="6" t="s">
        <v>119</v>
      </c>
      <c r="E78" s="6" t="s">
        <v>120</v>
      </c>
      <c r="F78" s="6" t="s">
        <v>121</v>
      </c>
    </row>
    <row r="79" customFormat="false" ht="15" hidden="false" customHeight="true" outlineLevel="0" collapsed="false">
      <c r="A79" s="14" t="s">
        <v>464</v>
      </c>
      <c r="B79" s="19" t="n">
        <f aca="false">$B$41-$B$72</f>
        <v>1750</v>
      </c>
      <c r="C79" s="16" t="s">
        <v>140</v>
      </c>
      <c r="D79" s="20" t="n">
        <v>1750</v>
      </c>
      <c r="E79" s="21" t="str">
        <f aca="false">IF(ABS(B79-D79)&lt;=0.5,"OK","DIVERSO")</f>
        <v>OK</v>
      </c>
      <c r="F79" s="16" t="s">
        <v>415</v>
      </c>
    </row>
    <row r="80" customFormat="false" ht="15" hidden="false" customHeight="true" outlineLevel="0" collapsed="false">
      <c r="A80" s="14" t="s">
        <v>465</v>
      </c>
      <c r="B80" s="19" t="n">
        <f aca="false">$B$56-$B$72</f>
        <v>-2625</v>
      </c>
      <c r="C80" s="16" t="s">
        <v>140</v>
      </c>
      <c r="D80" s="20" t="n">
        <v>-2625</v>
      </c>
      <c r="E80" s="21" t="str">
        <f aca="false">IF(ABS(B80-D80)&lt;=0.5,"OK","DIVERSO")</f>
        <v>OK</v>
      </c>
      <c r="F80" s="16" t="s">
        <v>415</v>
      </c>
    </row>
    <row r="81" customFormat="false" ht="15" hidden="false" customHeight="true" outlineLevel="0" collapsed="false">
      <c r="A81" s="14" t="s">
        <v>466</v>
      </c>
      <c r="B81" s="19" t="n">
        <f aca="false">$B$19*$B$26</f>
        <v>7000</v>
      </c>
      <c r="C81" s="16" t="s">
        <v>140</v>
      </c>
      <c r="D81" s="17"/>
      <c r="E81" s="17"/>
      <c r="F81" s="16" t="s">
        <v>415</v>
      </c>
    </row>
    <row r="82" customFormat="false" ht="15" hidden="false" customHeight="true" outlineLevel="0" collapsed="false">
      <c r="A82" s="14" t="s">
        <v>467</v>
      </c>
      <c r="B82" s="19" t="n">
        <f aca="false">$B$18+$B$81</f>
        <v>57000</v>
      </c>
      <c r="C82" s="16" t="s">
        <v>140</v>
      </c>
      <c r="D82" s="17"/>
      <c r="E82" s="17"/>
      <c r="F82" s="16" t="s">
        <v>415</v>
      </c>
    </row>
    <row r="83" customFormat="false" ht="15" hidden="false" customHeight="true" outlineLevel="0" collapsed="false">
      <c r="A83" s="14" t="s">
        <v>468</v>
      </c>
      <c r="B83" s="19" t="n">
        <f aca="false">$B$20+$B$19*$B$27+$B$82*$B$33</f>
        <v>221200</v>
      </c>
      <c r="C83" s="16" t="s">
        <v>140</v>
      </c>
      <c r="D83" s="20" t="n">
        <v>221200</v>
      </c>
      <c r="E83" s="21" t="str">
        <f aca="false">IF(ABS(B83-D83)&lt;=0.5,"OK","DIVERSO")</f>
        <v>OK</v>
      </c>
      <c r="F83" s="16" t="s">
        <v>415</v>
      </c>
    </row>
    <row r="84" customFormat="false" ht="15" hidden="false" customHeight="true" outlineLevel="0" collapsed="false">
      <c r="A84" s="14" t="s">
        <v>469</v>
      </c>
      <c r="B84" s="19" t="n">
        <f aca="false">$B$21+$B$19*$B$28+$B$82*$B$34</f>
        <v>163800</v>
      </c>
      <c r="C84" s="16" t="s">
        <v>140</v>
      </c>
      <c r="D84" s="20" t="n">
        <v>163800</v>
      </c>
      <c r="E84" s="21" t="str">
        <f aca="false">IF(ABS(B84-D84)&lt;=0.5,"OK","DIVERSO")</f>
        <v>OK</v>
      </c>
      <c r="F84" s="16" t="s">
        <v>415</v>
      </c>
    </row>
    <row r="85" customFormat="false" ht="15" hidden="false" customHeight="true" outlineLevel="0" collapsed="false">
      <c r="A85" s="14" t="s">
        <v>470</v>
      </c>
      <c r="B85" s="19" t="n">
        <f aca="false">$B$83+$B$84</f>
        <v>385000</v>
      </c>
      <c r="C85" s="16" t="s">
        <v>140</v>
      </c>
      <c r="D85" s="20" t="n">
        <v>385000</v>
      </c>
      <c r="E85" s="21" t="str">
        <f aca="false">IF(ABS(B85-D85)&lt;=0.5,"OK","DIVERSO")</f>
        <v>OK</v>
      </c>
      <c r="F85" s="16" t="s">
        <v>415</v>
      </c>
    </row>
    <row r="86" customFormat="false" ht="15" hidden="false" customHeight="true" outlineLevel="0" collapsed="false"/>
    <row r="87" customFormat="false" ht="15" hidden="false" customHeight="true" outlineLevel="0" collapsed="false">
      <c r="A87" s="13" t="s">
        <v>471</v>
      </c>
      <c r="B87" s="13"/>
      <c r="C87" s="13"/>
      <c r="D87" s="13"/>
      <c r="E87" s="13"/>
      <c r="F87" s="13"/>
    </row>
    <row r="88" customFormat="false" ht="15" hidden="false" customHeight="true" outlineLevel="0" collapsed="false">
      <c r="A88" s="22" t="s">
        <v>472</v>
      </c>
      <c r="B88" s="22"/>
      <c r="C88" s="22"/>
      <c r="D88" s="22"/>
      <c r="E88" s="22"/>
      <c r="F88" s="22"/>
    </row>
    <row r="89" customFormat="false" ht="15" hidden="false" customHeight="true" outlineLevel="0" collapsed="false">
      <c r="A89" s="6" t="s">
        <v>116</v>
      </c>
      <c r="B89" s="6" t="s">
        <v>117</v>
      </c>
      <c r="C89" s="6" t="s">
        <v>118</v>
      </c>
      <c r="D89" s="6" t="s">
        <v>119</v>
      </c>
      <c r="E89" s="6" t="s">
        <v>120</v>
      </c>
      <c r="F89" s="6" t="s">
        <v>121</v>
      </c>
    </row>
    <row r="90" customFormat="false" ht="15" hidden="false" customHeight="true" outlineLevel="0" collapsed="false">
      <c r="A90" s="14" t="s">
        <v>473</v>
      </c>
      <c r="B90" s="15" t="n">
        <v>180000</v>
      </c>
      <c r="C90" s="16" t="s">
        <v>140</v>
      </c>
      <c r="D90" s="17"/>
      <c r="E90" s="17"/>
      <c r="F90" s="16" t="s">
        <v>415</v>
      </c>
    </row>
    <row r="91" customFormat="false" ht="15" hidden="false" customHeight="true" outlineLevel="0" collapsed="false">
      <c r="A91" s="14" t="s">
        <v>474</v>
      </c>
      <c r="B91" s="15" t="n">
        <v>4000</v>
      </c>
      <c r="C91" s="16" t="s">
        <v>144</v>
      </c>
      <c r="D91" s="17"/>
      <c r="E91" s="17"/>
      <c r="F91" s="16" t="s">
        <v>415</v>
      </c>
    </row>
    <row r="92" customFormat="false" ht="15" hidden="false" customHeight="true" outlineLevel="0" collapsed="false">
      <c r="A92" s="14" t="s">
        <v>475</v>
      </c>
      <c r="B92" s="15" t="n">
        <v>5000</v>
      </c>
      <c r="C92" s="16" t="s">
        <v>144</v>
      </c>
      <c r="D92" s="17"/>
      <c r="E92" s="17"/>
      <c r="F92" s="16" t="s">
        <v>415</v>
      </c>
    </row>
    <row r="93" customFormat="false" ht="15" hidden="false" customHeight="true" outlineLevel="0" collapsed="false">
      <c r="A93" s="14" t="s">
        <v>476</v>
      </c>
      <c r="B93" s="19" t="n">
        <f aca="false">$B$91+$B$92</f>
        <v>9000</v>
      </c>
      <c r="C93" s="16" t="s">
        <v>144</v>
      </c>
      <c r="D93" s="20" t="n">
        <v>9000</v>
      </c>
      <c r="E93" s="21" t="str">
        <f aca="false">IF(ABS(B93-D93)&lt;=0.5,"OK","DIVERSO")</f>
        <v>OK</v>
      </c>
      <c r="F93" s="16" t="s">
        <v>415</v>
      </c>
    </row>
    <row r="94" customFormat="false" ht="15" hidden="false" customHeight="true" outlineLevel="0" collapsed="false">
      <c r="A94" s="14" t="s">
        <v>417</v>
      </c>
      <c r="B94" s="23" t="n">
        <f aca="false">$B$90/$B$93</f>
        <v>20</v>
      </c>
      <c r="C94" s="16" t="s">
        <v>146</v>
      </c>
      <c r="D94" s="24" t="n">
        <v>20</v>
      </c>
      <c r="E94" s="21" t="str">
        <f aca="false">IF(ABS(B94-D94)&lt;=0.005,"OK","DIVERSO")</f>
        <v>OK</v>
      </c>
      <c r="F94" s="16" t="s">
        <v>415</v>
      </c>
    </row>
    <row r="95" customFormat="false" ht="15" hidden="false" customHeight="true" outlineLevel="0" collapsed="false">
      <c r="A95" s="14" t="s">
        <v>477</v>
      </c>
      <c r="B95" s="19" t="n">
        <f aca="false">$B$94*$B$91</f>
        <v>80000</v>
      </c>
      <c r="C95" s="16" t="s">
        <v>140</v>
      </c>
      <c r="D95" s="20" t="n">
        <v>80000</v>
      </c>
      <c r="E95" s="21" t="str">
        <f aca="false">IF(ABS(B95-D95)&lt;=0.5,"OK","DIVERSO")</f>
        <v>OK</v>
      </c>
      <c r="F95" s="16" t="s">
        <v>415</v>
      </c>
    </row>
    <row r="96" customFormat="false" ht="15" hidden="false" customHeight="true" outlineLevel="0" collapsed="false">
      <c r="A96" s="14" t="s">
        <v>478</v>
      </c>
      <c r="B96" s="19" t="n">
        <f aca="false">$B$94*$B$92</f>
        <v>100000</v>
      </c>
      <c r="C96" s="16" t="s">
        <v>140</v>
      </c>
      <c r="D96" s="20" t="n">
        <v>100000</v>
      </c>
      <c r="E96" s="21" t="str">
        <f aca="false">IF(ABS(B96-D96)&lt;=0.5,"OK","DIVERSO")</f>
        <v>OK</v>
      </c>
      <c r="F96" s="16" t="s">
        <v>415</v>
      </c>
    </row>
    <row r="97" customFormat="false" ht="15" hidden="false" customHeight="true" outlineLevel="0" collapsed="false">
      <c r="A97" s="14" t="s">
        <v>479</v>
      </c>
      <c r="B97" s="19" t="n">
        <f aca="false">$B$95+$B$96</f>
        <v>180000</v>
      </c>
      <c r="C97" s="16" t="s">
        <v>140</v>
      </c>
      <c r="D97" s="20" t="n">
        <v>180000</v>
      </c>
      <c r="E97" s="21" t="str">
        <f aca="false">IF(ABS(B97-D97)&lt;=0.5,"OK","DIVERSO")</f>
        <v>OK</v>
      </c>
      <c r="F97" s="16" t="s">
        <v>415</v>
      </c>
    </row>
    <row r="98" customFormat="false" ht="15" hidden="false" customHeight="true" outlineLevel="0" collapsed="false"/>
    <row r="99" customFormat="false" ht="15" hidden="false" customHeight="true" outlineLevel="0" collapsed="false">
      <c r="A99" s="13" t="s">
        <v>480</v>
      </c>
      <c r="B99" s="13"/>
      <c r="C99" s="13"/>
      <c r="D99" s="13"/>
      <c r="E99" s="13"/>
      <c r="F99" s="13"/>
    </row>
    <row r="100" customFormat="false" ht="15" hidden="false" customHeight="true" outlineLevel="0" collapsed="false">
      <c r="A100" s="22" t="s">
        <v>481</v>
      </c>
      <c r="B100" s="22"/>
      <c r="C100" s="22"/>
      <c r="D100" s="22"/>
      <c r="E100" s="22"/>
      <c r="F100" s="22"/>
    </row>
    <row r="101" customFormat="false" ht="15" hidden="false" customHeight="true" outlineLevel="0" collapsed="false">
      <c r="A101" s="6" t="s">
        <v>116</v>
      </c>
      <c r="B101" s="6" t="s">
        <v>117</v>
      </c>
      <c r="C101" s="6" t="s">
        <v>118</v>
      </c>
      <c r="D101" s="6" t="s">
        <v>119</v>
      </c>
      <c r="E101" s="6" t="s">
        <v>120</v>
      </c>
      <c r="F101" s="6" t="s">
        <v>121</v>
      </c>
    </row>
    <row r="102" customFormat="false" ht="15" hidden="false" customHeight="true" outlineLevel="0" collapsed="false">
      <c r="A102" s="14" t="s">
        <v>482</v>
      </c>
      <c r="B102" s="15" t="n">
        <v>210000</v>
      </c>
      <c r="C102" s="16" t="s">
        <v>140</v>
      </c>
      <c r="D102" s="17"/>
      <c r="E102" s="17"/>
      <c r="F102" s="16" t="s">
        <v>415</v>
      </c>
    </row>
    <row r="103" customFormat="false" ht="15" hidden="false" customHeight="true" outlineLevel="0" collapsed="false">
      <c r="A103" s="14" t="s">
        <v>483</v>
      </c>
      <c r="B103" s="15" t="n">
        <v>195000</v>
      </c>
      <c r="C103" s="16" t="s">
        <v>140</v>
      </c>
      <c r="D103" s="17"/>
      <c r="E103" s="17"/>
      <c r="F103" s="16" t="s">
        <v>415</v>
      </c>
    </row>
    <row r="104" customFormat="false" ht="15" hidden="false" customHeight="true" outlineLevel="0" collapsed="false">
      <c r="A104" s="14" t="s">
        <v>484</v>
      </c>
      <c r="B104" s="19" t="n">
        <f aca="false">$B$102-$B$103</f>
        <v>15000</v>
      </c>
      <c r="C104" s="16" t="s">
        <v>140</v>
      </c>
      <c r="D104" s="20" t="n">
        <v>15000</v>
      </c>
      <c r="E104" s="21" t="str">
        <f aca="false">IF(ABS(B104-D104)&lt;=0.5,"OK","DIVERSO")</f>
        <v>OK</v>
      </c>
      <c r="F104" s="16" t="s">
        <v>415</v>
      </c>
    </row>
    <row r="105" customFormat="false" ht="15" hidden="false" customHeight="true" outlineLevel="0" collapsed="false"/>
    <row r="106" customFormat="false" ht="15" hidden="false" customHeight="true" outlineLevel="0" collapsed="false">
      <c r="A106" s="13" t="s">
        <v>485</v>
      </c>
      <c r="B106" s="13"/>
      <c r="C106" s="13"/>
      <c r="D106" s="13"/>
      <c r="E106" s="13"/>
      <c r="F106" s="13"/>
    </row>
    <row r="107" customFormat="false" ht="15" hidden="false" customHeight="true" outlineLevel="0" collapsed="false">
      <c r="A107" s="22" t="s">
        <v>486</v>
      </c>
      <c r="B107" s="22"/>
      <c r="C107" s="22"/>
      <c r="D107" s="22"/>
      <c r="E107" s="22"/>
      <c r="F107" s="22"/>
    </row>
    <row r="108" customFormat="false" ht="15" hidden="false" customHeight="true" outlineLevel="0" collapsed="false">
      <c r="A108" s="6" t="s">
        <v>116</v>
      </c>
      <c r="B108" s="6" t="s">
        <v>117</v>
      </c>
      <c r="C108" s="6" t="s">
        <v>118</v>
      </c>
      <c r="D108" s="6" t="s">
        <v>119</v>
      </c>
      <c r="E108" s="6" t="s">
        <v>120</v>
      </c>
      <c r="F108" s="6" t="s">
        <v>121</v>
      </c>
    </row>
    <row r="109" customFormat="false" ht="15" hidden="false" customHeight="true" outlineLevel="0" collapsed="false">
      <c r="A109" s="14" t="s">
        <v>487</v>
      </c>
      <c r="B109" s="25" t="n">
        <v>0.25</v>
      </c>
      <c r="C109" s="16" t="s">
        <v>319</v>
      </c>
      <c r="D109" s="17"/>
      <c r="E109" s="17"/>
      <c r="F109" s="16" t="s">
        <v>415</v>
      </c>
    </row>
    <row r="110" customFormat="false" ht="15" hidden="false" customHeight="true" outlineLevel="0" collapsed="false">
      <c r="A110" s="14" t="s">
        <v>428</v>
      </c>
      <c r="B110" s="25" t="n">
        <v>0.75</v>
      </c>
      <c r="C110" s="16" t="s">
        <v>319</v>
      </c>
      <c r="D110" s="17"/>
      <c r="E110" s="17"/>
      <c r="F110" s="16" t="s">
        <v>415</v>
      </c>
    </row>
    <row r="111" customFormat="false" ht="15" hidden="false" customHeight="true" outlineLevel="0" collapsed="false">
      <c r="A111" s="14" t="s">
        <v>487</v>
      </c>
      <c r="B111" s="19" t="n">
        <f aca="false">Cap_05!$B$22*$B$109</f>
        <v>9000</v>
      </c>
      <c r="C111" s="16" t="s">
        <v>140</v>
      </c>
      <c r="D111" s="20" t="n">
        <v>9000</v>
      </c>
      <c r="E111" s="21" t="str">
        <f aca="false">IF(ABS(B111-D111)&lt;=0.5,"OK","DIVERSO")</f>
        <v>OK</v>
      </c>
      <c r="F111" s="16" t="s">
        <v>415</v>
      </c>
    </row>
    <row r="112" customFormat="false" ht="15" hidden="false" customHeight="true" outlineLevel="0" collapsed="false">
      <c r="A112" s="14" t="s">
        <v>428</v>
      </c>
      <c r="B112" s="19" t="n">
        <f aca="false">Cap_05!$B$22*$B$110</f>
        <v>27000</v>
      </c>
      <c r="C112" s="16" t="s">
        <v>140</v>
      </c>
      <c r="D112" s="20" t="n">
        <v>27000</v>
      </c>
      <c r="E112" s="21" t="str">
        <f aca="false">IF(ABS(B112-D112)&lt;=0.5,"OK","DIVERSO")</f>
        <v>OK</v>
      </c>
      <c r="F112" s="16" t="s">
        <v>415</v>
      </c>
    </row>
    <row r="113" customFormat="false" ht="15" hidden="false" customHeight="true" outlineLevel="0" collapsed="false">
      <c r="A113" s="14" t="s">
        <v>488</v>
      </c>
      <c r="B113" s="19" t="n">
        <f aca="false">Cap_05!$B$23+$B$111</f>
        <v>27000</v>
      </c>
      <c r="C113" s="16" t="s">
        <v>140</v>
      </c>
      <c r="D113" s="20" t="n">
        <v>27000</v>
      </c>
      <c r="E113" s="21" t="str">
        <f aca="false">IF(ABS(B113-D113)&lt;=0.5,"OK","DIVERSO")</f>
        <v>OK</v>
      </c>
      <c r="F113" s="16" t="s">
        <v>415</v>
      </c>
    </row>
    <row r="114" customFormat="false" ht="15" hidden="false" customHeight="true" outlineLevel="0" collapsed="false">
      <c r="A114" s="14" t="s">
        <v>489</v>
      </c>
      <c r="B114" s="19" t="n">
        <f aca="false">$B$113</f>
        <v>27000</v>
      </c>
      <c r="C114" s="16" t="s">
        <v>140</v>
      </c>
      <c r="D114" s="20" t="n">
        <v>27000</v>
      </c>
      <c r="E114" s="21" t="str">
        <f aca="false">IF(ABS(B114-D114)&lt;=0.5,"OK","DIVERSO")</f>
        <v>OK</v>
      </c>
      <c r="F114" s="16" t="s">
        <v>415</v>
      </c>
    </row>
    <row r="115" customFormat="false" ht="15" hidden="false" customHeight="true" outlineLevel="0" collapsed="false">
      <c r="A115" s="14" t="s">
        <v>490</v>
      </c>
      <c r="B115" s="19" t="n">
        <f aca="false">Cap_05!$B$24+$B$112+$B$114</f>
        <v>120000</v>
      </c>
      <c r="C115" s="16" t="s">
        <v>140</v>
      </c>
      <c r="D115" s="20" t="n">
        <v>120000</v>
      </c>
      <c r="E115" s="21" t="str">
        <f aca="false">IF(ABS(B115-D115)&lt;=0.5,"OK","DIVERSO")</f>
        <v>OK</v>
      </c>
      <c r="F115" s="16" t="s">
        <v>415</v>
      </c>
    </row>
    <row r="116" customFormat="false" ht="15" hidden="false" customHeight="true" outlineLevel="0" collapsed="false">
      <c r="A116" s="14" t="s">
        <v>491</v>
      </c>
      <c r="B116" s="19" t="n">
        <f aca="false">(Cap_05!$B$22-$B$111-$B$112)+($B$113-$B$114)</f>
        <v>0</v>
      </c>
      <c r="C116" s="16" t="s">
        <v>140</v>
      </c>
      <c r="D116" s="20" t="n">
        <v>0</v>
      </c>
      <c r="E116" s="21" t="str">
        <f aca="false">IF(ABS(B116-D116)&lt;=0.5,"OK","DIVERSO")</f>
        <v>OK</v>
      </c>
      <c r="F116" s="16" t="s">
        <v>415</v>
      </c>
    </row>
    <row r="117" customFormat="false" ht="15" hidden="false" customHeight="true" outlineLevel="0" collapsed="false">
      <c r="A117" s="14" t="s">
        <v>379</v>
      </c>
      <c r="B117" s="19" t="n">
        <f aca="false">$B$115-Impresa_guida!$B$24</f>
        <v>0</v>
      </c>
      <c r="C117" s="16" t="s">
        <v>140</v>
      </c>
      <c r="D117" s="20" t="n">
        <v>0</v>
      </c>
      <c r="E117" s="21" t="str">
        <f aca="false">IF(ABS(B117-D117)&lt;=0.5,"OK","DIVERSO")</f>
        <v>OK</v>
      </c>
      <c r="F117" s="16" t="s">
        <v>415</v>
      </c>
    </row>
    <row r="118" customFormat="false" ht="15" hidden="false" customHeight="true" outlineLevel="0" collapsed="false"/>
    <row r="119" customFormat="false" ht="15" hidden="false" customHeight="true" outlineLevel="0" collapsed="false">
      <c r="A119" s="13" t="s">
        <v>492</v>
      </c>
      <c r="B119" s="13"/>
      <c r="C119" s="13"/>
      <c r="D119" s="13"/>
      <c r="E119" s="13"/>
      <c r="F119" s="13"/>
    </row>
    <row r="120" customFormat="false" ht="15" hidden="false" customHeight="true" outlineLevel="0" collapsed="false">
      <c r="A120" s="22" t="s">
        <v>493</v>
      </c>
      <c r="B120" s="22"/>
      <c r="C120" s="22"/>
      <c r="D120" s="22"/>
      <c r="E120" s="22"/>
      <c r="F120" s="22"/>
    </row>
    <row r="121" customFormat="false" ht="15" hidden="false" customHeight="true" outlineLevel="0" collapsed="false">
      <c r="A121" s="6" t="s">
        <v>116</v>
      </c>
      <c r="B121" s="6" t="s">
        <v>117</v>
      </c>
      <c r="C121" s="6" t="s">
        <v>118</v>
      </c>
      <c r="D121" s="6" t="s">
        <v>119</v>
      </c>
      <c r="E121" s="6" t="s">
        <v>120</v>
      </c>
      <c r="F121" s="6" t="s">
        <v>121</v>
      </c>
    </row>
    <row r="122" customFormat="false" ht="15" hidden="false" customHeight="true" outlineLevel="0" collapsed="false">
      <c r="A122" s="14" t="s">
        <v>494</v>
      </c>
      <c r="B122" s="23" t="n">
        <f aca="false">$B$115/Impresa_guida!$B$37</f>
        <v>5</v>
      </c>
      <c r="C122" s="16" t="s">
        <v>146</v>
      </c>
      <c r="D122" s="24" t="n">
        <v>5</v>
      </c>
      <c r="E122" s="21" t="str">
        <f aca="false">IF(ABS(B122-D122)&lt;=0.005,"OK","DIVERSO")</f>
        <v>OK</v>
      </c>
      <c r="F122" s="16" t="s">
        <v>415</v>
      </c>
    </row>
    <row r="123" customFormat="false" ht="15" hidden="false" customHeight="true" outlineLevel="0" collapsed="false">
      <c r="A123" s="14" t="s">
        <v>495</v>
      </c>
      <c r="B123" s="23" t="n">
        <f aca="false">$B$115/Impresa_guida!$B$26</f>
        <v>5.71428571428571</v>
      </c>
      <c r="C123" s="16" t="s">
        <v>146</v>
      </c>
      <c r="D123" s="24" t="n">
        <v>5.71</v>
      </c>
      <c r="E123" s="21" t="str">
        <f aca="false">IF(ABS(B123-D123)&lt;=0.005,"OK","DIVERSO")</f>
        <v>OK</v>
      </c>
      <c r="F123" s="16" t="s">
        <v>415</v>
      </c>
    </row>
    <row r="124" customFormat="false" ht="15" hidden="false" customHeight="true" outlineLevel="0" collapsed="false">
      <c r="A124" s="14" t="s">
        <v>496</v>
      </c>
      <c r="B124" s="30" t="n">
        <f aca="false">$B$115/Cap_05!$B$9</f>
        <v>5.45454545454545</v>
      </c>
      <c r="C124" s="16" t="s">
        <v>126</v>
      </c>
      <c r="D124" s="31" t="n">
        <v>5.4545</v>
      </c>
      <c r="E124" s="21" t="str">
        <f aca="false">IF(ABS(B124-D124)&lt;=0.00005,"OK","DIVERSO")</f>
        <v>OK</v>
      </c>
      <c r="F124" s="16" t="s">
        <v>415</v>
      </c>
    </row>
    <row r="125" customFormat="false" ht="15" hidden="false" customHeight="true" outlineLevel="0" collapsed="false"/>
    <row r="126" customFormat="false" ht="15" hidden="false" customHeight="true" outlineLevel="0" collapsed="false">
      <c r="A126" s="13" t="s">
        <v>497</v>
      </c>
      <c r="B126" s="13"/>
      <c r="C126" s="13"/>
      <c r="D126" s="13"/>
      <c r="E126" s="13"/>
      <c r="F126" s="13"/>
    </row>
    <row r="127" customFormat="false" ht="15" hidden="false" customHeight="true" outlineLevel="0" collapsed="false">
      <c r="A127" s="22" t="s">
        <v>498</v>
      </c>
      <c r="B127" s="22"/>
      <c r="C127" s="22"/>
      <c r="D127" s="22"/>
      <c r="E127" s="22"/>
      <c r="F127" s="22"/>
    </row>
    <row r="128" customFormat="false" ht="15" hidden="false" customHeight="true" outlineLevel="0" collapsed="false">
      <c r="A128" s="6" t="s">
        <v>116</v>
      </c>
      <c r="B128" s="6" t="s">
        <v>117</v>
      </c>
      <c r="C128" s="6" t="s">
        <v>118</v>
      </c>
      <c r="D128" s="6" t="s">
        <v>119</v>
      </c>
      <c r="E128" s="6" t="s">
        <v>120</v>
      </c>
      <c r="F128" s="6" t="s">
        <v>121</v>
      </c>
    </row>
    <row r="129" customFormat="false" ht="15" hidden="false" customHeight="true" outlineLevel="0" collapsed="false">
      <c r="A129" s="14" t="s">
        <v>499</v>
      </c>
      <c r="B129" s="19" t="n">
        <f aca="false">Impresa_guida!$B$8*Impresa_guida!$B$11</f>
        <v>12000</v>
      </c>
      <c r="C129" s="16" t="s">
        <v>144</v>
      </c>
      <c r="D129" s="20" t="n">
        <v>12000</v>
      </c>
      <c r="E129" s="21" t="str">
        <f aca="false">IF(ABS(B129-D129)&lt;=0.5,"OK","DIVERSO")</f>
        <v>OK</v>
      </c>
      <c r="F129" s="16" t="s">
        <v>415</v>
      </c>
    </row>
    <row r="130" customFormat="false" ht="15" hidden="false" customHeight="true" outlineLevel="0" collapsed="false">
      <c r="A130" s="14" t="s">
        <v>500</v>
      </c>
      <c r="B130" s="19" t="n">
        <f aca="false">$B$129*$B$122</f>
        <v>60000</v>
      </c>
      <c r="C130" s="16" t="s">
        <v>140</v>
      </c>
      <c r="D130" s="20" t="n">
        <v>60000</v>
      </c>
      <c r="E130" s="21" t="str">
        <f aca="false">IF(ABS(B130-D130)&lt;=0.5,"OK","DIVERSO")</f>
        <v>OK</v>
      </c>
      <c r="F130" s="16" t="s">
        <v>415</v>
      </c>
    </row>
    <row r="131" customFormat="false" ht="15" hidden="false" customHeight="true" outlineLevel="0" collapsed="false">
      <c r="A131" s="14" t="s">
        <v>501</v>
      </c>
      <c r="B131" s="23" t="n">
        <f aca="false">$B$130/Impresa_guida!$B$8</f>
        <v>7.5</v>
      </c>
      <c r="C131" s="16" t="s">
        <v>126</v>
      </c>
      <c r="D131" s="24" t="n">
        <v>7.5</v>
      </c>
      <c r="E131" s="21" t="str">
        <f aca="false">IF(ABS(B131-D131)&lt;=0.005,"OK","DIVERSO")</f>
        <v>OK</v>
      </c>
      <c r="F131" s="16" t="s">
        <v>415</v>
      </c>
    </row>
    <row r="132" customFormat="false" ht="15" hidden="false" customHeight="true" outlineLevel="0" collapsed="false">
      <c r="A132" s="14" t="s">
        <v>502</v>
      </c>
      <c r="B132" s="19" t="n">
        <f aca="false">Impresa_guida!$B$8*$B$124</f>
        <v>43636.3636363636</v>
      </c>
      <c r="C132" s="16" t="s">
        <v>140</v>
      </c>
      <c r="D132" s="20" t="n">
        <v>43636</v>
      </c>
      <c r="E132" s="21" t="str">
        <f aca="false">IF(ABS(B132-D132)&lt;=0.5,"OK","DIVERSO")</f>
        <v>OK</v>
      </c>
      <c r="F132" s="16" t="s">
        <v>415</v>
      </c>
    </row>
    <row r="133" customFormat="false" ht="15" hidden="false" customHeight="true" outlineLevel="0" collapsed="false">
      <c r="A133" s="14" t="s">
        <v>503</v>
      </c>
      <c r="B133" s="19" t="n">
        <f aca="false">$B$132-$B$130</f>
        <v>-16363.6363636364</v>
      </c>
      <c r="C133" s="16" t="s">
        <v>140</v>
      </c>
      <c r="D133" s="20" t="n">
        <v>-16364</v>
      </c>
      <c r="E133" s="21" t="str">
        <f aca="false">IF(ABS(B133-D133)&lt;=0.5,"OK","DIVERSO")</f>
        <v>OK</v>
      </c>
      <c r="F133" s="16" t="s">
        <v>415</v>
      </c>
    </row>
    <row r="134" customFormat="false" ht="15" hidden="false" customHeight="true" outlineLevel="0" collapsed="false">
      <c r="A134" s="14" t="s">
        <v>504</v>
      </c>
      <c r="B134" s="19" t="n">
        <f aca="false">Impresa_guida!$B$12*Impresa_guida!$B$15</f>
        <v>6000</v>
      </c>
      <c r="C134" s="16" t="s">
        <v>144</v>
      </c>
      <c r="D134" s="20" t="n">
        <v>6000</v>
      </c>
      <c r="E134" s="21" t="str">
        <f aca="false">IF(ABS(B134-D134)&lt;=0.5,"OK","DIVERSO")</f>
        <v>OK</v>
      </c>
      <c r="F134" s="16" t="s">
        <v>415</v>
      </c>
    </row>
    <row r="135" customFormat="false" ht="15" hidden="false" customHeight="true" outlineLevel="0" collapsed="false">
      <c r="A135" s="14" t="s">
        <v>505</v>
      </c>
      <c r="B135" s="19" t="n">
        <f aca="false">$B$134*$B$122</f>
        <v>30000</v>
      </c>
      <c r="C135" s="16" t="s">
        <v>140</v>
      </c>
      <c r="D135" s="20" t="n">
        <v>30000</v>
      </c>
      <c r="E135" s="21" t="str">
        <f aca="false">IF(ABS(B135-D135)&lt;=0.5,"OK","DIVERSO")</f>
        <v>OK</v>
      </c>
      <c r="F135" s="16" t="s">
        <v>415</v>
      </c>
    </row>
    <row r="136" customFormat="false" ht="15" hidden="false" customHeight="true" outlineLevel="0" collapsed="false">
      <c r="A136" s="14" t="s">
        <v>506</v>
      </c>
      <c r="B136" s="23" t="n">
        <f aca="false">$B$135/Impresa_guida!$B$12</f>
        <v>2.5</v>
      </c>
      <c r="C136" s="16" t="s">
        <v>126</v>
      </c>
      <c r="D136" s="24" t="n">
        <v>2.5</v>
      </c>
      <c r="E136" s="21" t="str">
        <f aca="false">IF(ABS(B136-D136)&lt;=0.005,"OK","DIVERSO")</f>
        <v>OK</v>
      </c>
      <c r="F136" s="16" t="s">
        <v>415</v>
      </c>
    </row>
    <row r="137" customFormat="false" ht="15" hidden="false" customHeight="true" outlineLevel="0" collapsed="false">
      <c r="A137" s="14" t="s">
        <v>507</v>
      </c>
      <c r="B137" s="19" t="n">
        <f aca="false">Impresa_guida!$B$12*$B$124</f>
        <v>65454.5454545455</v>
      </c>
      <c r="C137" s="16" t="s">
        <v>140</v>
      </c>
      <c r="D137" s="20" t="n">
        <v>65455</v>
      </c>
      <c r="E137" s="21" t="str">
        <f aca="false">IF(ABS(B137-D137)&lt;=0.5,"OK","DIVERSO")</f>
        <v>OK</v>
      </c>
      <c r="F137" s="16" t="s">
        <v>415</v>
      </c>
    </row>
    <row r="138" customFormat="false" ht="15" hidden="false" customHeight="true" outlineLevel="0" collapsed="false">
      <c r="A138" s="14" t="s">
        <v>508</v>
      </c>
      <c r="B138" s="19" t="n">
        <f aca="false">$B$137-$B$135</f>
        <v>35454.5454545455</v>
      </c>
      <c r="C138" s="16" t="s">
        <v>140</v>
      </c>
      <c r="D138" s="20" t="n">
        <v>35455</v>
      </c>
      <c r="E138" s="21" t="str">
        <f aca="false">IF(ABS(B138-D138)&lt;=0.5,"OK","DIVERSO")</f>
        <v>OK</v>
      </c>
      <c r="F138" s="16" t="s">
        <v>415</v>
      </c>
    </row>
    <row r="139" customFormat="false" ht="15" hidden="false" customHeight="true" outlineLevel="0" collapsed="false">
      <c r="A139" s="14" t="s">
        <v>509</v>
      </c>
      <c r="B139" s="19" t="n">
        <f aca="false">Impresa_guida!$B$16*Impresa_guida!$B$19</f>
        <v>6000</v>
      </c>
      <c r="C139" s="16" t="s">
        <v>144</v>
      </c>
      <c r="D139" s="20" t="n">
        <v>6000</v>
      </c>
      <c r="E139" s="21" t="str">
        <f aca="false">IF(ABS(B139-D139)&lt;=0.5,"OK","DIVERSO")</f>
        <v>OK</v>
      </c>
      <c r="F139" s="16" t="s">
        <v>415</v>
      </c>
    </row>
    <row r="140" customFormat="false" ht="15" hidden="false" customHeight="true" outlineLevel="0" collapsed="false">
      <c r="A140" s="14" t="s">
        <v>510</v>
      </c>
      <c r="B140" s="19" t="n">
        <f aca="false">$B$139*$B$122</f>
        <v>30000</v>
      </c>
      <c r="C140" s="16" t="s">
        <v>140</v>
      </c>
      <c r="D140" s="20" t="n">
        <v>30000</v>
      </c>
      <c r="E140" s="21" t="str">
        <f aca="false">IF(ABS(B140-D140)&lt;=0.5,"OK","DIVERSO")</f>
        <v>OK</v>
      </c>
      <c r="F140" s="16" t="s">
        <v>415</v>
      </c>
    </row>
    <row r="141" customFormat="false" ht="15" hidden="false" customHeight="true" outlineLevel="0" collapsed="false">
      <c r="A141" s="14" t="s">
        <v>511</v>
      </c>
      <c r="B141" s="23" t="n">
        <f aca="false">$B$140/Impresa_guida!$B$16</f>
        <v>15</v>
      </c>
      <c r="C141" s="16" t="s">
        <v>126</v>
      </c>
      <c r="D141" s="24" t="n">
        <v>15</v>
      </c>
      <c r="E141" s="21" t="str">
        <f aca="false">IF(ABS(B141-D141)&lt;=0.005,"OK","DIVERSO")</f>
        <v>OK</v>
      </c>
      <c r="F141" s="16" t="s">
        <v>415</v>
      </c>
    </row>
    <row r="142" customFormat="false" ht="15" hidden="false" customHeight="true" outlineLevel="0" collapsed="false">
      <c r="A142" s="14" t="s">
        <v>512</v>
      </c>
      <c r="B142" s="19" t="n">
        <f aca="false">Impresa_guida!$B$16*$B$124</f>
        <v>10909.0909090909</v>
      </c>
      <c r="C142" s="16" t="s">
        <v>140</v>
      </c>
      <c r="D142" s="20" t="n">
        <v>10909</v>
      </c>
      <c r="E142" s="21" t="str">
        <f aca="false">IF(ABS(B142-D142)&lt;=0.5,"OK","DIVERSO")</f>
        <v>OK</v>
      </c>
      <c r="F142" s="16" t="s">
        <v>415</v>
      </c>
    </row>
    <row r="143" customFormat="false" ht="15" hidden="false" customHeight="true" outlineLevel="0" collapsed="false">
      <c r="A143" s="14" t="s">
        <v>513</v>
      </c>
      <c r="B143" s="19" t="n">
        <f aca="false">$B$142-$B$140</f>
        <v>-19090.9090909091</v>
      </c>
      <c r="C143" s="16" t="s">
        <v>140</v>
      </c>
      <c r="D143" s="20" t="n">
        <v>-19091</v>
      </c>
      <c r="E143" s="21" t="str">
        <f aca="false">IF(ABS(B143-D143)&lt;=0.5,"OK","DIVERSO")</f>
        <v>OK</v>
      </c>
      <c r="F143" s="16" t="s">
        <v>415</v>
      </c>
    </row>
    <row r="144" customFormat="false" ht="15" hidden="false" customHeight="true" outlineLevel="0" collapsed="false">
      <c r="A144" s="14" t="s">
        <v>476</v>
      </c>
      <c r="B144" s="19" t="n">
        <f aca="false">$B$129+$B$134+$B$139</f>
        <v>24000</v>
      </c>
      <c r="C144" s="16" t="s">
        <v>144</v>
      </c>
      <c r="D144" s="20" t="n">
        <v>24000</v>
      </c>
      <c r="E144" s="21" t="str">
        <f aca="false">IF(ABS(B144-D144)&lt;=0.5,"OK","DIVERSO")</f>
        <v>OK</v>
      </c>
      <c r="F144" s="16" t="s">
        <v>415</v>
      </c>
    </row>
    <row r="145" customFormat="false" ht="15" hidden="false" customHeight="true" outlineLevel="0" collapsed="false">
      <c r="A145" s="14" t="s">
        <v>514</v>
      </c>
      <c r="B145" s="19" t="n">
        <f aca="false">$B$130+$B$135+$B$140</f>
        <v>120000</v>
      </c>
      <c r="C145" s="16" t="s">
        <v>140</v>
      </c>
      <c r="D145" s="20" t="n">
        <v>120000</v>
      </c>
      <c r="E145" s="21" t="str">
        <f aca="false">IF(ABS(B145-D145)&lt;=0.5,"OK","DIVERSO")</f>
        <v>OK</v>
      </c>
      <c r="F145" s="16" t="s">
        <v>415</v>
      </c>
    </row>
    <row r="146" customFormat="false" ht="15" hidden="false" customHeight="true" outlineLevel="0" collapsed="false">
      <c r="A146" s="14" t="s">
        <v>515</v>
      </c>
      <c r="B146" s="19" t="n">
        <f aca="false">$B$132+$B$137+$B$142</f>
        <v>120000</v>
      </c>
      <c r="C146" s="16" t="s">
        <v>140</v>
      </c>
      <c r="D146" s="20" t="n">
        <v>120000</v>
      </c>
      <c r="E146" s="21" t="str">
        <f aca="false">IF(ABS(B146-D146)&lt;=0.5,"OK","DIVERSO")</f>
        <v>OK</v>
      </c>
      <c r="F146" s="16" t="s">
        <v>415</v>
      </c>
    </row>
    <row r="147" customFormat="false" ht="15" hidden="false" customHeight="true" outlineLevel="0" collapsed="false">
      <c r="A147" s="14" t="s">
        <v>516</v>
      </c>
      <c r="B147" s="19" t="n">
        <f aca="false">$B$133+$B$138+$B$143</f>
        <v>0</v>
      </c>
      <c r="C147" s="16" t="s">
        <v>140</v>
      </c>
      <c r="D147" s="20" t="n">
        <v>0</v>
      </c>
      <c r="E147" s="21" t="str">
        <f aca="false">IF(ABS(B147-D147)&lt;=0.5,"OK","DIVERSO")</f>
        <v>OK</v>
      </c>
      <c r="F147" s="16" t="s">
        <v>415</v>
      </c>
    </row>
    <row r="148" customFormat="false" ht="15" hidden="false" customHeight="true" outlineLevel="0" collapsed="false">
      <c r="A148" s="14" t="s">
        <v>517</v>
      </c>
      <c r="B148" s="23" t="n">
        <f aca="false">$B$141/$B$136</f>
        <v>6</v>
      </c>
      <c r="C148" s="16" t="s">
        <v>518</v>
      </c>
      <c r="D148" s="24" t="n">
        <v>6</v>
      </c>
      <c r="E148" s="21" t="str">
        <f aca="false">IF(ABS(B148-D148)&lt;=0.005,"OK","DIVERSO")</f>
        <v>OK</v>
      </c>
      <c r="F148" s="16" t="s">
        <v>415</v>
      </c>
    </row>
  </sheetData>
  <mergeCells count="24">
    <mergeCell ref="A1:F1"/>
    <mergeCell ref="A4:F4"/>
    <mergeCell ref="A6:F6"/>
    <mergeCell ref="A7:F7"/>
    <mergeCell ref="A15:F15"/>
    <mergeCell ref="A16:F16"/>
    <mergeCell ref="A30:F30"/>
    <mergeCell ref="A31:F31"/>
    <mergeCell ref="A45:F45"/>
    <mergeCell ref="A46:F46"/>
    <mergeCell ref="A60:F60"/>
    <mergeCell ref="A61:F61"/>
    <mergeCell ref="A76:F76"/>
    <mergeCell ref="A77:F77"/>
    <mergeCell ref="A87:F87"/>
    <mergeCell ref="A88:F88"/>
    <mergeCell ref="A99:F99"/>
    <mergeCell ref="A100:F100"/>
    <mergeCell ref="A106:F106"/>
    <mergeCell ref="A107:F107"/>
    <mergeCell ref="A119:F119"/>
    <mergeCell ref="A120:F120"/>
    <mergeCell ref="A126:F126"/>
    <mergeCell ref="A127:F1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35</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519</v>
      </c>
      <c r="B4" s="5"/>
      <c r="C4" s="5"/>
      <c r="D4" s="5"/>
      <c r="E4" s="5"/>
      <c r="F4" s="5"/>
    </row>
    <row r="5" customFormat="false" ht="15" hidden="false" customHeight="true" outlineLevel="0" collapsed="false"/>
    <row r="6" customFormat="false" ht="15" hidden="false" customHeight="true" outlineLevel="0" collapsed="false">
      <c r="A6" s="13" t="s">
        <v>520</v>
      </c>
      <c r="B6" s="13"/>
      <c r="C6" s="13"/>
      <c r="D6" s="13"/>
      <c r="E6" s="13"/>
      <c r="F6" s="13"/>
    </row>
    <row r="7" customFormat="false" ht="15" hidden="false" customHeight="true" outlineLevel="0" collapsed="false">
      <c r="A7" s="22" t="s">
        <v>521</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522</v>
      </c>
      <c r="B9" s="15" t="n">
        <v>45</v>
      </c>
      <c r="C9" s="16" t="s">
        <v>126</v>
      </c>
      <c r="D9" s="17"/>
      <c r="E9" s="17"/>
      <c r="F9" s="16" t="s">
        <v>523</v>
      </c>
    </row>
    <row r="10" customFormat="false" ht="15" hidden="false" customHeight="true" outlineLevel="0" collapsed="false">
      <c r="A10" s="14" t="s">
        <v>524</v>
      </c>
      <c r="B10" s="15" t="n">
        <v>25</v>
      </c>
      <c r="C10" s="16" t="s">
        <v>126</v>
      </c>
      <c r="D10" s="17"/>
      <c r="E10" s="17"/>
      <c r="F10" s="16" t="s">
        <v>523</v>
      </c>
    </row>
    <row r="11" customFormat="false" ht="15" hidden="false" customHeight="true" outlineLevel="0" collapsed="false">
      <c r="A11" s="14" t="s">
        <v>525</v>
      </c>
      <c r="B11" s="15" t="n">
        <v>18</v>
      </c>
      <c r="C11" s="16" t="s">
        <v>126</v>
      </c>
      <c r="D11" s="17"/>
      <c r="E11" s="17"/>
      <c r="F11" s="16" t="s">
        <v>523</v>
      </c>
    </row>
    <row r="12" customFormat="false" ht="15" hidden="false" customHeight="true" outlineLevel="0" collapsed="false">
      <c r="A12" s="14" t="s">
        <v>526</v>
      </c>
      <c r="B12" s="15" t="n">
        <v>12</v>
      </c>
      <c r="C12" s="16" t="s">
        <v>126</v>
      </c>
      <c r="D12" s="17"/>
      <c r="E12" s="17"/>
      <c r="F12" s="16" t="s">
        <v>523</v>
      </c>
    </row>
    <row r="13" customFormat="false" ht="15" hidden="false" customHeight="true" outlineLevel="0" collapsed="false">
      <c r="A13" s="14" t="s">
        <v>527</v>
      </c>
      <c r="B13" s="19" t="n">
        <f aca="false">$B$9+$B$10</f>
        <v>70</v>
      </c>
      <c r="C13" s="16" t="s">
        <v>126</v>
      </c>
      <c r="D13" s="20" t="n">
        <v>70</v>
      </c>
      <c r="E13" s="21" t="str">
        <f aca="false">IF(ABS(B13-D13)&lt;=0.5,"OK","DIVERSO")</f>
        <v>OK</v>
      </c>
      <c r="F13" s="16" t="s">
        <v>523</v>
      </c>
    </row>
    <row r="14" customFormat="false" ht="15" hidden="false" customHeight="true" outlineLevel="0" collapsed="false">
      <c r="A14" s="14" t="s">
        <v>528</v>
      </c>
      <c r="B14" s="19" t="n">
        <f aca="false">$B$13+$B$11</f>
        <v>88</v>
      </c>
      <c r="C14" s="16" t="s">
        <v>126</v>
      </c>
      <c r="D14" s="20" t="n">
        <v>88</v>
      </c>
      <c r="E14" s="21" t="str">
        <f aca="false">IF(ABS(B14-D14)&lt;=0.5,"OK","DIVERSO")</f>
        <v>OK</v>
      </c>
      <c r="F14" s="16" t="s">
        <v>523</v>
      </c>
    </row>
    <row r="15" customFormat="false" ht="15" hidden="false" customHeight="true" outlineLevel="0" collapsed="false">
      <c r="A15" s="14" t="s">
        <v>529</v>
      </c>
      <c r="B15" s="19" t="n">
        <f aca="false">$B$14+$B$12</f>
        <v>100</v>
      </c>
      <c r="C15" s="16" t="s">
        <v>126</v>
      </c>
      <c r="D15" s="20" t="n">
        <v>100</v>
      </c>
      <c r="E15" s="21" t="str">
        <f aca="false">IF(ABS(B15-D15)&lt;=0.5,"OK","DIVERSO")</f>
        <v>OK</v>
      </c>
      <c r="F15" s="16" t="s">
        <v>523</v>
      </c>
    </row>
    <row r="16" customFormat="false" ht="15" hidden="false" customHeight="true" outlineLevel="0" collapsed="false"/>
    <row r="17" customFormat="false" ht="15" hidden="false" customHeight="true" outlineLevel="0" collapsed="false">
      <c r="A17" s="13" t="s">
        <v>530</v>
      </c>
      <c r="B17" s="13"/>
      <c r="C17" s="13"/>
      <c r="D17" s="13"/>
      <c r="E17" s="13"/>
      <c r="F17" s="13"/>
    </row>
    <row r="18" customFormat="false" ht="15" hidden="false" customHeight="true" outlineLevel="0" collapsed="false">
      <c r="A18" s="22" t="s">
        <v>531</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532</v>
      </c>
      <c r="B20" s="15" t="n">
        <v>140</v>
      </c>
      <c r="C20" s="16" t="s">
        <v>126</v>
      </c>
      <c r="D20" s="17"/>
      <c r="E20" s="17"/>
      <c r="F20" s="16" t="s">
        <v>523</v>
      </c>
    </row>
    <row r="21" customFormat="false" ht="15" hidden="false" customHeight="true" outlineLevel="0" collapsed="false">
      <c r="A21" s="14" t="s">
        <v>533</v>
      </c>
      <c r="B21" s="15" t="n">
        <v>65</v>
      </c>
      <c r="C21" s="16" t="s">
        <v>126</v>
      </c>
      <c r="D21" s="17"/>
      <c r="E21" s="17"/>
      <c r="F21" s="16" t="s">
        <v>523</v>
      </c>
    </row>
    <row r="22" customFormat="false" ht="15" hidden="false" customHeight="true" outlineLevel="0" collapsed="false">
      <c r="A22" s="14" t="s">
        <v>534</v>
      </c>
      <c r="B22" s="15" t="n">
        <v>35</v>
      </c>
      <c r="C22" s="16" t="s">
        <v>126</v>
      </c>
      <c r="D22" s="17"/>
      <c r="E22" s="17"/>
      <c r="F22" s="16" t="s">
        <v>523</v>
      </c>
    </row>
    <row r="23" customFormat="false" ht="15" hidden="false" customHeight="true" outlineLevel="0" collapsed="false">
      <c r="A23" s="14" t="s">
        <v>535</v>
      </c>
      <c r="B23" s="19" t="n">
        <f aca="false">$B$21+$B$22</f>
        <v>100</v>
      </c>
      <c r="C23" s="16" t="s">
        <v>126</v>
      </c>
      <c r="D23" s="20" t="n">
        <v>100</v>
      </c>
      <c r="E23" s="21" t="str">
        <f aca="false">IF(ABS(B23-D23)&lt;=0.5,"OK","DIVERSO")</f>
        <v>OK</v>
      </c>
      <c r="F23" s="16" t="s">
        <v>523</v>
      </c>
    </row>
    <row r="24" customFormat="false" ht="15" hidden="false" customHeight="true" outlineLevel="0" collapsed="false">
      <c r="A24" s="14" t="s">
        <v>536</v>
      </c>
      <c r="B24" s="19" t="n">
        <f aca="false">$B$20-$B$23</f>
        <v>40</v>
      </c>
      <c r="C24" s="16" t="s">
        <v>126</v>
      </c>
      <c r="D24" s="20" t="n">
        <v>40</v>
      </c>
      <c r="E24" s="21" t="str">
        <f aca="false">IF(ABS(B24-D24)&lt;=0.5,"OK","DIVERSO")</f>
        <v>OK</v>
      </c>
      <c r="F24" s="16" t="s">
        <v>523</v>
      </c>
    </row>
    <row r="25" customFormat="false" ht="15" hidden="false" customHeight="true" outlineLevel="0" collapsed="false">
      <c r="A25" s="14" t="s">
        <v>537</v>
      </c>
      <c r="B25" s="15" t="n">
        <v>110</v>
      </c>
      <c r="C25" s="16" t="s">
        <v>126</v>
      </c>
      <c r="D25" s="17"/>
      <c r="E25" s="17"/>
      <c r="F25" s="16" t="s">
        <v>523</v>
      </c>
    </row>
    <row r="26" customFormat="false" ht="15" hidden="false" customHeight="true" outlineLevel="0" collapsed="false">
      <c r="A26" s="14" t="s">
        <v>538</v>
      </c>
      <c r="B26" s="15" t="n">
        <v>50</v>
      </c>
      <c r="C26" s="16" t="s">
        <v>126</v>
      </c>
      <c r="D26" s="17"/>
      <c r="E26" s="17"/>
      <c r="F26" s="16" t="s">
        <v>523</v>
      </c>
    </row>
    <row r="27" customFormat="false" ht="15" hidden="false" customHeight="true" outlineLevel="0" collapsed="false">
      <c r="A27" s="14" t="s">
        <v>539</v>
      </c>
      <c r="B27" s="15" t="n">
        <v>45</v>
      </c>
      <c r="C27" s="16" t="s">
        <v>126</v>
      </c>
      <c r="D27" s="17"/>
      <c r="E27" s="17"/>
      <c r="F27" s="16" t="s">
        <v>523</v>
      </c>
    </row>
    <row r="28" customFormat="false" ht="15" hidden="false" customHeight="true" outlineLevel="0" collapsed="false">
      <c r="A28" s="14" t="s">
        <v>540</v>
      </c>
      <c r="B28" s="19" t="n">
        <f aca="false">$B$26+$B$27</f>
        <v>95</v>
      </c>
      <c r="C28" s="16" t="s">
        <v>126</v>
      </c>
      <c r="D28" s="20" t="n">
        <v>95</v>
      </c>
      <c r="E28" s="21" t="str">
        <f aca="false">IF(ABS(B28-D28)&lt;=0.5,"OK","DIVERSO")</f>
        <v>OK</v>
      </c>
      <c r="F28" s="16" t="s">
        <v>523</v>
      </c>
    </row>
    <row r="29" customFormat="false" ht="15" hidden="false" customHeight="true" outlineLevel="0" collapsed="false">
      <c r="A29" s="14" t="s">
        <v>541</v>
      </c>
      <c r="B29" s="19" t="n">
        <f aca="false">$B$25-$B$28</f>
        <v>15</v>
      </c>
      <c r="C29" s="16" t="s">
        <v>126</v>
      </c>
      <c r="D29" s="20" t="n">
        <v>15</v>
      </c>
      <c r="E29" s="21" t="str">
        <f aca="false">IF(ABS(B29-D29)&lt;=0.5,"OK","DIVERSO")</f>
        <v>OK</v>
      </c>
      <c r="F29" s="16" t="s">
        <v>523</v>
      </c>
    </row>
    <row r="30" customFormat="false" ht="15" hidden="false" customHeight="true" outlineLevel="0" collapsed="false"/>
    <row r="31" customFormat="false" ht="15" hidden="false" customHeight="true" outlineLevel="0" collapsed="false">
      <c r="A31" s="13" t="s">
        <v>542</v>
      </c>
      <c r="B31" s="13"/>
      <c r="C31" s="13"/>
      <c r="D31" s="13"/>
      <c r="E31" s="13"/>
      <c r="F31" s="13"/>
    </row>
    <row r="32" customFormat="false" ht="15" hidden="false" customHeight="true" outlineLevel="0" collapsed="false">
      <c r="A32" s="22" t="s">
        <v>543</v>
      </c>
      <c r="B32" s="22"/>
      <c r="C32" s="22"/>
      <c r="D32" s="22"/>
      <c r="E32" s="22"/>
      <c r="F32" s="22"/>
    </row>
    <row r="33" customFormat="false" ht="15" hidden="false" customHeight="true" outlineLevel="0" collapsed="false">
      <c r="A33" s="6" t="s">
        <v>116</v>
      </c>
      <c r="B33" s="6" t="s">
        <v>117</v>
      </c>
      <c r="C33" s="6" t="s">
        <v>118</v>
      </c>
      <c r="D33" s="6" t="s">
        <v>119</v>
      </c>
      <c r="E33" s="6" t="s">
        <v>120</v>
      </c>
      <c r="F33" s="6" t="s">
        <v>121</v>
      </c>
    </row>
    <row r="34" customFormat="false" ht="15" hidden="false" customHeight="true" outlineLevel="0" collapsed="false">
      <c r="A34" s="14" t="s">
        <v>544</v>
      </c>
      <c r="B34" s="19" t="n">
        <f aca="false">Impresa_guida!$B$41-Cap_06!$B$115</f>
        <v>700000</v>
      </c>
      <c r="C34" s="16" t="s">
        <v>140</v>
      </c>
      <c r="D34" s="20" t="n">
        <v>700000</v>
      </c>
      <c r="E34" s="21" t="str">
        <f aca="false">IF(ABS(B34-D34)&lt;=0.5,"OK","DIVERSO")</f>
        <v>OK</v>
      </c>
      <c r="F34" s="16" t="s">
        <v>523</v>
      </c>
    </row>
    <row r="35" customFormat="false" ht="15" hidden="false" customHeight="true" outlineLevel="0" collapsed="false">
      <c r="A35" s="14" t="s">
        <v>545</v>
      </c>
      <c r="B35" s="19" t="n">
        <f aca="false">$B$34*Impresa_guida!$B$31/Impresa_guida!$B$34</f>
        <v>297696.396928529</v>
      </c>
      <c r="C35" s="16" t="s">
        <v>140</v>
      </c>
      <c r="D35" s="20" t="n">
        <v>297696</v>
      </c>
      <c r="E35" s="21" t="str">
        <f aca="false">IF(ABS(B35-D35)&lt;=0.5,"OK","DIVERSO")</f>
        <v>OK</v>
      </c>
      <c r="F35" s="16" t="s">
        <v>523</v>
      </c>
    </row>
    <row r="36" customFormat="false" ht="15" hidden="false" customHeight="true" outlineLevel="0" collapsed="false">
      <c r="A36" s="14" t="s">
        <v>546</v>
      </c>
      <c r="B36" s="19" t="n">
        <f aca="false">$B$34*Impresa_guida!$B$32/Impresa_guida!$B$34</f>
        <v>282811.577082103</v>
      </c>
      <c r="C36" s="16" t="s">
        <v>140</v>
      </c>
      <c r="D36" s="20" t="n">
        <v>282812</v>
      </c>
      <c r="E36" s="21" t="str">
        <f aca="false">IF(ABS(B36-D36)&lt;=0.5,"OK","DIVERSO")</f>
        <v>OK</v>
      </c>
      <c r="F36" s="16" t="s">
        <v>523</v>
      </c>
    </row>
    <row r="37" customFormat="false" ht="15" hidden="false" customHeight="true" outlineLevel="0" collapsed="false">
      <c r="A37" s="14" t="s">
        <v>547</v>
      </c>
      <c r="B37" s="19" t="n">
        <f aca="false">$B$34*Impresa_guida!$B$33/Impresa_guida!$B$34</f>
        <v>119492.025989368</v>
      </c>
      <c r="C37" s="16" t="s">
        <v>140</v>
      </c>
      <c r="D37" s="20" t="n">
        <v>119492</v>
      </c>
      <c r="E37" s="21" t="str">
        <f aca="false">IF(ABS(B37-D37)&lt;=0.5,"OK","DIVERSO")</f>
        <v>OK</v>
      </c>
      <c r="F37" s="16" t="s">
        <v>523</v>
      </c>
    </row>
    <row r="38" customFormat="false" ht="15" hidden="false" customHeight="true" outlineLevel="0" collapsed="false">
      <c r="A38" s="14" t="s">
        <v>548</v>
      </c>
      <c r="B38" s="19" t="n">
        <f aca="false">$B$35+$B$36+$B$37</f>
        <v>700000</v>
      </c>
      <c r="C38" s="16" t="s">
        <v>140</v>
      </c>
      <c r="D38" s="20" t="n">
        <v>700000</v>
      </c>
      <c r="E38" s="21" t="str">
        <f aca="false">IF(ABS(B38-D38)&lt;=0.5,"OK","DIVERSO")</f>
        <v>OK</v>
      </c>
      <c r="F38" s="16" t="s">
        <v>523</v>
      </c>
    </row>
    <row r="39" customFormat="false" ht="15" hidden="false" customHeight="true" outlineLevel="0" collapsed="false"/>
    <row r="40" customFormat="false" ht="15" hidden="false" customHeight="true" outlineLevel="0" collapsed="false">
      <c r="A40" s="13" t="s">
        <v>549</v>
      </c>
      <c r="B40" s="13"/>
      <c r="C40" s="13"/>
      <c r="D40" s="13"/>
      <c r="E40" s="13"/>
      <c r="F40" s="13"/>
    </row>
    <row r="41" customFormat="false" ht="15" hidden="false" customHeight="true" outlineLevel="0" collapsed="false">
      <c r="A41" s="22" t="s">
        <v>550</v>
      </c>
      <c r="B41" s="22"/>
      <c r="C41" s="22"/>
      <c r="D41" s="22"/>
      <c r="E41" s="22"/>
      <c r="F41" s="22"/>
    </row>
    <row r="42" customFormat="false" ht="15" hidden="false" customHeight="true" outlineLevel="0" collapsed="false">
      <c r="A42" s="6" t="s">
        <v>116</v>
      </c>
      <c r="B42" s="6" t="s">
        <v>117</v>
      </c>
      <c r="C42" s="6" t="s">
        <v>118</v>
      </c>
      <c r="D42" s="6" t="s">
        <v>119</v>
      </c>
      <c r="E42" s="6" t="s">
        <v>120</v>
      </c>
      <c r="F42" s="6" t="s">
        <v>121</v>
      </c>
    </row>
    <row r="43" customFormat="false" ht="15" hidden="false" customHeight="true" outlineLevel="0" collapsed="false">
      <c r="A43" s="14" t="s">
        <v>551</v>
      </c>
      <c r="B43" s="23" t="n">
        <f aca="false">Cap_06!$B$131</f>
        <v>7.5</v>
      </c>
      <c r="C43" s="16" t="s">
        <v>126</v>
      </c>
      <c r="D43" s="24" t="n">
        <v>7.5</v>
      </c>
      <c r="E43" s="21" t="str">
        <f aca="false">IF(ABS(B43-D43)&lt;=0.005,"OK","DIVERSO")</f>
        <v>OK</v>
      </c>
      <c r="F43" s="16" t="s">
        <v>523</v>
      </c>
    </row>
    <row r="44" customFormat="false" ht="15" hidden="false" customHeight="true" outlineLevel="0" collapsed="false">
      <c r="A44" s="14" t="s">
        <v>552</v>
      </c>
      <c r="B44" s="23" t="n">
        <f aca="false">Impresa_guida!$B$10+$B$43</f>
        <v>124.5</v>
      </c>
      <c r="C44" s="16" t="s">
        <v>126</v>
      </c>
      <c r="D44" s="24" t="n">
        <v>124.5</v>
      </c>
      <c r="E44" s="21" t="str">
        <f aca="false">IF(ABS(B44-D44)&lt;=0.005,"OK","DIVERSO")</f>
        <v>OK</v>
      </c>
      <c r="F44" s="16" t="s">
        <v>523</v>
      </c>
    </row>
    <row r="45" customFormat="false" ht="15" hidden="false" customHeight="true" outlineLevel="0" collapsed="false">
      <c r="A45" s="14" t="s">
        <v>553</v>
      </c>
      <c r="B45" s="23" t="n">
        <f aca="false">$B$35/Impresa_guida!$B$8</f>
        <v>37.2120496160662</v>
      </c>
      <c r="C45" s="16" t="s">
        <v>126</v>
      </c>
      <c r="D45" s="24" t="n">
        <v>37.21</v>
      </c>
      <c r="E45" s="21" t="str">
        <f aca="false">IF(ABS(B45-D45)&lt;=0.005,"OK","DIVERSO")</f>
        <v>OK</v>
      </c>
      <c r="F45" s="16" t="s">
        <v>523</v>
      </c>
    </row>
    <row r="46" customFormat="false" ht="15" hidden="false" customHeight="true" outlineLevel="0" collapsed="false">
      <c r="A46" s="14" t="s">
        <v>554</v>
      </c>
      <c r="B46" s="23" t="n">
        <f aca="false">$B$44+$B$45</f>
        <v>161.712049616066</v>
      </c>
      <c r="C46" s="16" t="s">
        <v>126</v>
      </c>
      <c r="D46" s="24" t="n">
        <v>161.71</v>
      </c>
      <c r="E46" s="21" t="str">
        <f aca="false">IF(ABS(B46-D46)&lt;=0.005,"OK","DIVERSO")</f>
        <v>OK</v>
      </c>
      <c r="F46" s="16" t="s">
        <v>523</v>
      </c>
    </row>
    <row r="47" customFormat="false" ht="15" hidden="false" customHeight="true" outlineLevel="0" collapsed="false">
      <c r="A47" s="14" t="s">
        <v>555</v>
      </c>
      <c r="B47" s="23" t="n">
        <f aca="false">Impresa_guida!$B$9-$B$46</f>
        <v>18.2879503839338</v>
      </c>
      <c r="C47" s="16" t="s">
        <v>126</v>
      </c>
      <c r="D47" s="24" t="n">
        <v>18.29</v>
      </c>
      <c r="E47" s="21" t="str">
        <f aca="false">IF(ABS(B47-D47)&lt;=0.005,"OK","DIVERSO")</f>
        <v>OK</v>
      </c>
      <c r="F47" s="16" t="s">
        <v>523</v>
      </c>
    </row>
    <row r="48" customFormat="false" ht="15" hidden="false" customHeight="true" outlineLevel="0" collapsed="false">
      <c r="A48" s="14" t="s">
        <v>556</v>
      </c>
      <c r="B48" s="23" t="n">
        <f aca="false">Cap_06!$B$136</f>
        <v>2.5</v>
      </c>
      <c r="C48" s="16" t="s">
        <v>126</v>
      </c>
      <c r="D48" s="24" t="n">
        <v>2.5</v>
      </c>
      <c r="E48" s="21" t="str">
        <f aca="false">IF(ABS(B48-D48)&lt;=0.005,"OK","DIVERSO")</f>
        <v>OK</v>
      </c>
      <c r="F48" s="16" t="s">
        <v>523</v>
      </c>
    </row>
    <row r="49" customFormat="false" ht="15" hidden="false" customHeight="true" outlineLevel="0" collapsed="false">
      <c r="A49" s="14" t="s">
        <v>557</v>
      </c>
      <c r="B49" s="23" t="n">
        <f aca="false">Impresa_guida!$B$14+$B$48</f>
        <v>78.5</v>
      </c>
      <c r="C49" s="16" t="s">
        <v>126</v>
      </c>
      <c r="D49" s="24" t="n">
        <v>78.5</v>
      </c>
      <c r="E49" s="21" t="str">
        <f aca="false">IF(ABS(B49-D49)&lt;=0.005,"OK","DIVERSO")</f>
        <v>OK</v>
      </c>
      <c r="F49" s="16" t="s">
        <v>523</v>
      </c>
    </row>
    <row r="50" customFormat="false" ht="15" hidden="false" customHeight="true" outlineLevel="0" collapsed="false">
      <c r="A50" s="14" t="s">
        <v>558</v>
      </c>
      <c r="B50" s="23" t="n">
        <f aca="false">$B$36/Impresa_guida!$B$12</f>
        <v>23.5676314235086</v>
      </c>
      <c r="C50" s="16" t="s">
        <v>126</v>
      </c>
      <c r="D50" s="24" t="n">
        <v>23.57</v>
      </c>
      <c r="E50" s="21" t="str">
        <f aca="false">IF(ABS(B50-D50)&lt;=0.005,"OK","DIVERSO")</f>
        <v>OK</v>
      </c>
      <c r="F50" s="16" t="s">
        <v>523</v>
      </c>
    </row>
    <row r="51" customFormat="false" ht="15" hidden="false" customHeight="true" outlineLevel="0" collapsed="false">
      <c r="A51" s="14" t="s">
        <v>559</v>
      </c>
      <c r="B51" s="23" t="n">
        <f aca="false">$B$49+$B$50</f>
        <v>102.067631423509</v>
      </c>
      <c r="C51" s="16" t="s">
        <v>126</v>
      </c>
      <c r="D51" s="24" t="n">
        <v>102.07</v>
      </c>
      <c r="E51" s="21" t="str">
        <f aca="false">IF(ABS(B51-D51)&lt;=0.005,"OK","DIVERSO")</f>
        <v>OK</v>
      </c>
      <c r="F51" s="16" t="s">
        <v>523</v>
      </c>
    </row>
    <row r="52" customFormat="false" ht="15" hidden="false" customHeight="true" outlineLevel="0" collapsed="false">
      <c r="A52" s="14" t="s">
        <v>560</v>
      </c>
      <c r="B52" s="23" t="n">
        <f aca="false">Impresa_guida!$B$13-$B$51</f>
        <v>11.9323685764914</v>
      </c>
      <c r="C52" s="16" t="s">
        <v>126</v>
      </c>
      <c r="D52" s="24" t="n">
        <v>11.93</v>
      </c>
      <c r="E52" s="21" t="str">
        <f aca="false">IF(ABS(B52-D52)&lt;=0.005,"OK","DIVERSO")</f>
        <v>OK</v>
      </c>
      <c r="F52" s="16" t="s">
        <v>523</v>
      </c>
    </row>
    <row r="53" customFormat="false" ht="15" hidden="false" customHeight="true" outlineLevel="0" collapsed="false">
      <c r="A53" s="14" t="s">
        <v>561</v>
      </c>
      <c r="B53" s="23" t="n">
        <f aca="false">Cap_06!$B$141</f>
        <v>15</v>
      </c>
      <c r="C53" s="16" t="s">
        <v>126</v>
      </c>
      <c r="D53" s="24" t="n">
        <v>15</v>
      </c>
      <c r="E53" s="21" t="str">
        <f aca="false">IF(ABS(B53-D53)&lt;=0.005,"OK","DIVERSO")</f>
        <v>OK</v>
      </c>
      <c r="F53" s="16" t="s">
        <v>523</v>
      </c>
    </row>
    <row r="54" customFormat="false" ht="15" hidden="false" customHeight="true" outlineLevel="0" collapsed="false">
      <c r="A54" s="14" t="s">
        <v>562</v>
      </c>
      <c r="B54" s="23" t="n">
        <f aca="false">Impresa_guida!$B$18+$B$53</f>
        <v>253</v>
      </c>
      <c r="C54" s="16" t="s">
        <v>126</v>
      </c>
      <c r="D54" s="24" t="n">
        <v>253</v>
      </c>
      <c r="E54" s="21" t="str">
        <f aca="false">IF(ABS(B54-D54)&lt;=0.005,"OK","DIVERSO")</f>
        <v>OK</v>
      </c>
      <c r="F54" s="16" t="s">
        <v>523</v>
      </c>
    </row>
    <row r="55" customFormat="false" ht="15" hidden="false" customHeight="true" outlineLevel="0" collapsed="false">
      <c r="A55" s="14" t="s">
        <v>563</v>
      </c>
      <c r="B55" s="23" t="n">
        <f aca="false">$B$37/Impresa_guida!$B$16</f>
        <v>59.746012994684</v>
      </c>
      <c r="C55" s="16" t="s">
        <v>126</v>
      </c>
      <c r="D55" s="24" t="n">
        <v>59.75</v>
      </c>
      <c r="E55" s="21" t="str">
        <f aca="false">IF(ABS(B55-D55)&lt;=0.005,"OK","DIVERSO")</f>
        <v>OK</v>
      </c>
      <c r="F55" s="16" t="s">
        <v>523</v>
      </c>
    </row>
    <row r="56" customFormat="false" ht="15" hidden="false" customHeight="true" outlineLevel="0" collapsed="false">
      <c r="A56" s="14" t="s">
        <v>564</v>
      </c>
      <c r="B56" s="23" t="n">
        <f aca="false">$B$54+$B$55</f>
        <v>312.746012994684</v>
      </c>
      <c r="C56" s="16" t="s">
        <v>126</v>
      </c>
      <c r="D56" s="24" t="n">
        <v>312.75</v>
      </c>
      <c r="E56" s="21" t="str">
        <f aca="false">IF(ABS(B56-D56)&lt;=0.005,"OK","DIVERSO")</f>
        <v>OK</v>
      </c>
      <c r="F56" s="16" t="s">
        <v>523</v>
      </c>
    </row>
    <row r="57" customFormat="false" ht="15" hidden="false" customHeight="true" outlineLevel="0" collapsed="false">
      <c r="A57" s="14" t="s">
        <v>565</v>
      </c>
      <c r="B57" s="23" t="n">
        <f aca="false">Impresa_guida!$B$17-$B$56</f>
        <v>-23.746012994684</v>
      </c>
      <c r="C57" s="16" t="s">
        <v>126</v>
      </c>
      <c r="D57" s="24" t="n">
        <v>-23.75</v>
      </c>
      <c r="E57" s="21" t="str">
        <f aca="false">IF(ABS(B57-D57)&lt;=0.005,"OK","DIVERSO")</f>
        <v>OK</v>
      </c>
      <c r="F57" s="16" t="s">
        <v>523</v>
      </c>
    </row>
    <row r="58" customFormat="false" ht="15" hidden="false" customHeight="true" outlineLevel="0" collapsed="false"/>
    <row r="59" customFormat="false" ht="15" hidden="false" customHeight="true" outlineLevel="0" collapsed="false">
      <c r="A59" s="13" t="s">
        <v>566</v>
      </c>
      <c r="B59" s="13"/>
      <c r="C59" s="13"/>
      <c r="D59" s="13"/>
      <c r="E59" s="13"/>
      <c r="F59" s="13"/>
    </row>
    <row r="60" customFormat="false" ht="15" hidden="false" customHeight="true" outlineLevel="0" collapsed="false">
      <c r="A60" s="22" t="s">
        <v>567</v>
      </c>
      <c r="B60" s="22"/>
      <c r="C60" s="22"/>
      <c r="D60" s="22"/>
      <c r="E60" s="22"/>
      <c r="F60" s="22"/>
    </row>
    <row r="61" customFormat="false" ht="15" hidden="false" customHeight="true" outlineLevel="0" collapsed="false">
      <c r="A61" s="6" t="s">
        <v>116</v>
      </c>
      <c r="B61" s="6" t="s">
        <v>117</v>
      </c>
      <c r="C61" s="6" t="s">
        <v>118</v>
      </c>
      <c r="D61" s="6" t="s">
        <v>119</v>
      </c>
      <c r="E61" s="6" t="s">
        <v>120</v>
      </c>
      <c r="F61" s="6" t="s">
        <v>121</v>
      </c>
    </row>
    <row r="62" customFormat="false" ht="15" hidden="false" customHeight="true" outlineLevel="0" collapsed="false">
      <c r="A62" s="14" t="s">
        <v>568</v>
      </c>
      <c r="B62" s="19" t="n">
        <f aca="false">Impresa_guida!$B$31-Impresa_guida!$B$8*$B$44-$B$35</f>
        <v>146303.603071471</v>
      </c>
      <c r="C62" s="16" t="s">
        <v>140</v>
      </c>
      <c r="D62" s="20" t="n">
        <v>146304</v>
      </c>
      <c r="E62" s="21" t="str">
        <f aca="false">IF(ABS(B62-D62)&lt;=0.5,"OK","DIVERSO")</f>
        <v>OK</v>
      </c>
      <c r="F62" s="16" t="s">
        <v>523</v>
      </c>
    </row>
    <row r="63" customFormat="false" ht="15" hidden="false" customHeight="true" outlineLevel="0" collapsed="false">
      <c r="A63" s="14" t="s">
        <v>569</v>
      </c>
      <c r="B63" s="19" t="n">
        <f aca="false">Impresa_guida!$B$32-Impresa_guida!$B$12*$B$49-$B$36</f>
        <v>143188.422917897</v>
      </c>
      <c r="C63" s="16" t="s">
        <v>140</v>
      </c>
      <c r="D63" s="20" t="n">
        <v>143188</v>
      </c>
      <c r="E63" s="21" t="str">
        <f aca="false">IF(ABS(B63-D63)&lt;=0.5,"OK","DIVERSO")</f>
        <v>OK</v>
      </c>
      <c r="F63" s="16" t="s">
        <v>523</v>
      </c>
    </row>
    <row r="64" customFormat="false" ht="15" hidden="false" customHeight="true" outlineLevel="0" collapsed="false">
      <c r="A64" s="14" t="s">
        <v>570</v>
      </c>
      <c r="B64" s="19" t="n">
        <f aca="false">Impresa_guida!$B$33-Impresa_guida!$B$16*$B$54-$B$37</f>
        <v>-47492.025989368</v>
      </c>
      <c r="C64" s="16" t="s">
        <v>140</v>
      </c>
      <c r="D64" s="20" t="n">
        <v>-47492</v>
      </c>
      <c r="E64" s="21" t="str">
        <f aca="false">IF(ABS(B64-D64)&lt;=0.5,"OK","DIVERSO")</f>
        <v>OK</v>
      </c>
      <c r="F64" s="16" t="s">
        <v>523</v>
      </c>
    </row>
    <row r="65" customFormat="false" ht="15" hidden="false" customHeight="true" outlineLevel="0" collapsed="false">
      <c r="A65" s="14" t="s">
        <v>571</v>
      </c>
      <c r="B65" s="19" t="n">
        <f aca="false">$B$62+$B$63+$B$64</f>
        <v>242000</v>
      </c>
      <c r="C65" s="16" t="s">
        <v>140</v>
      </c>
      <c r="D65" s="20" t="n">
        <v>242000</v>
      </c>
      <c r="E65" s="21" t="str">
        <f aca="false">IF(ABS(B65-D65)&lt;=0.5,"OK","DIVERSO")</f>
        <v>OK</v>
      </c>
      <c r="F65" s="16" t="s">
        <v>523</v>
      </c>
    </row>
    <row r="66" customFormat="false" ht="15" hidden="false" customHeight="true" outlineLevel="0" collapsed="false">
      <c r="A66" s="14" t="s">
        <v>572</v>
      </c>
      <c r="B66" s="19" t="n">
        <f aca="false">$B$65-Impresa_guida!$B$42</f>
        <v>0</v>
      </c>
      <c r="C66" s="16" t="s">
        <v>140</v>
      </c>
      <c r="D66" s="20" t="n">
        <v>0</v>
      </c>
      <c r="E66" s="21" t="str">
        <f aca="false">IF(ABS(B66-D66)&lt;=0.5,"OK","DIVERSO")</f>
        <v>OK</v>
      </c>
      <c r="F66" s="16" t="s">
        <v>523</v>
      </c>
    </row>
    <row r="67" customFormat="false" ht="15" hidden="false" customHeight="true" outlineLevel="0" collapsed="false">
      <c r="A67" s="14" t="s">
        <v>573</v>
      </c>
      <c r="B67" s="23" t="n">
        <f aca="false">Impresa_guida!$B$17-$B$54</f>
        <v>36</v>
      </c>
      <c r="C67" s="16" t="s">
        <v>126</v>
      </c>
      <c r="D67" s="24" t="n">
        <v>36</v>
      </c>
      <c r="E67" s="21" t="str">
        <f aca="false">IF(ABS(B67-D67)&lt;=0.005,"OK","DIVERSO")</f>
        <v>OK</v>
      </c>
      <c r="F67" s="16" t="s">
        <v>523</v>
      </c>
    </row>
    <row r="68" customFormat="false" ht="15" hidden="false" customHeight="true" outlineLevel="0" collapsed="false"/>
    <row r="69" customFormat="false" ht="15" hidden="false" customHeight="true" outlineLevel="0" collapsed="false">
      <c r="A69" s="13" t="s">
        <v>574</v>
      </c>
      <c r="B69" s="13"/>
      <c r="C69" s="13"/>
      <c r="D69" s="13"/>
      <c r="E69" s="13"/>
      <c r="F69" s="13"/>
    </row>
    <row r="70" customFormat="false" ht="15" hidden="false" customHeight="true" outlineLevel="0" collapsed="false">
      <c r="A70" s="22" t="s">
        <v>575</v>
      </c>
      <c r="B70" s="22"/>
      <c r="C70" s="22"/>
      <c r="D70" s="22"/>
      <c r="E70" s="22"/>
      <c r="F70" s="22"/>
    </row>
    <row r="71" customFormat="false" ht="15" hidden="false" customHeight="true" outlineLevel="0" collapsed="false">
      <c r="A71" s="6" t="s">
        <v>116</v>
      </c>
      <c r="B71" s="6" t="s">
        <v>117</v>
      </c>
      <c r="C71" s="6" t="s">
        <v>118</v>
      </c>
      <c r="D71" s="6" t="s">
        <v>119</v>
      </c>
      <c r="E71" s="6" t="s">
        <v>120</v>
      </c>
      <c r="F71" s="6" t="s">
        <v>121</v>
      </c>
    </row>
    <row r="72" customFormat="false" ht="15" hidden="false" customHeight="true" outlineLevel="0" collapsed="false">
      <c r="A72" s="14" t="s">
        <v>576</v>
      </c>
      <c r="B72" s="19" t="n">
        <f aca="false">Cap_06!$B$140+$B$37</f>
        <v>149492.025989368</v>
      </c>
      <c r="C72" s="16" t="s">
        <v>140</v>
      </c>
      <c r="D72" s="20" t="n">
        <v>149492</v>
      </c>
      <c r="E72" s="21" t="str">
        <f aca="false">IF(ABS(B72-D72)&lt;=0.5,"OK","DIVERSO")</f>
        <v>OK</v>
      </c>
      <c r="F72" s="16" t="s">
        <v>523</v>
      </c>
    </row>
    <row r="73" customFormat="false" ht="15" hidden="false" customHeight="true" outlineLevel="0" collapsed="false">
      <c r="A73" s="14" t="s">
        <v>577</v>
      </c>
      <c r="B73" s="19" t="n">
        <f aca="false">Impresa_guida!$B$42-(Impresa_guida!$B$33-Impresa_guida!$B$16*Impresa_guida!$B$18)</f>
        <v>140000</v>
      </c>
      <c r="C73" s="16" t="s">
        <v>140</v>
      </c>
      <c r="D73" s="20" t="n">
        <v>140000</v>
      </c>
      <c r="E73" s="21" t="str">
        <f aca="false">IF(ABS(B73-D73)&lt;=0.5,"OK","DIVERSO")</f>
        <v>OK</v>
      </c>
      <c r="F73" s="16" t="s">
        <v>523</v>
      </c>
    </row>
    <row r="74" customFormat="false" ht="15" hidden="false" customHeight="true" outlineLevel="0" collapsed="false">
      <c r="A74" s="14" t="s">
        <v>578</v>
      </c>
      <c r="B74" s="19" t="n">
        <f aca="false">Cap_06!$B$129+Cap_06!$B$134</f>
        <v>18000</v>
      </c>
      <c r="C74" s="16" t="s">
        <v>144</v>
      </c>
      <c r="D74" s="17"/>
      <c r="E74" s="17"/>
      <c r="F74" s="16" t="s">
        <v>523</v>
      </c>
    </row>
    <row r="75" customFormat="false" ht="15" hidden="false" customHeight="true" outlineLevel="0" collapsed="false">
      <c r="A75" s="14" t="s">
        <v>579</v>
      </c>
      <c r="B75" s="19" t="n">
        <f aca="false">MAX($B$74-Impresa_guida!$B$26,0)*Impresa_guida!$B$27</f>
        <v>0</v>
      </c>
      <c r="C75" s="16" t="s">
        <v>140</v>
      </c>
      <c r="D75" s="20" t="n">
        <v>0</v>
      </c>
      <c r="E75" s="21" t="str">
        <f aca="false">IF(ABS(B75-D75)&lt;=0.5,"OK","DIVERSO")</f>
        <v>OK</v>
      </c>
      <c r="F75" s="16" t="s">
        <v>523</v>
      </c>
    </row>
    <row r="76" customFormat="false" ht="15" hidden="false" customHeight="true" outlineLevel="0" collapsed="false">
      <c r="A76" s="14" t="s">
        <v>580</v>
      </c>
      <c r="B76" s="19" t="n">
        <f aca="false">$B$73+Impresa_guida!$B$39-$B$75</f>
        <v>224000</v>
      </c>
      <c r="C76" s="16" t="s">
        <v>140</v>
      </c>
      <c r="D76" s="20" t="n">
        <v>224000</v>
      </c>
      <c r="E76" s="21" t="str">
        <f aca="false">IF(ABS(B76-D76)&lt;=0.5,"OK","DIVERSO")</f>
        <v>OK</v>
      </c>
      <c r="F76" s="16" t="s">
        <v>523</v>
      </c>
    </row>
  </sheetData>
  <mergeCells count="14">
    <mergeCell ref="A1:F1"/>
    <mergeCell ref="A4:F4"/>
    <mergeCell ref="A6:F6"/>
    <mergeCell ref="A7:F7"/>
    <mergeCell ref="A17:F17"/>
    <mergeCell ref="A18:F18"/>
    <mergeCell ref="A31:F31"/>
    <mergeCell ref="A32:F32"/>
    <mergeCell ref="A40:F40"/>
    <mergeCell ref="A41:F41"/>
    <mergeCell ref="A59:F59"/>
    <mergeCell ref="A60:F60"/>
    <mergeCell ref="A69:F69"/>
    <mergeCell ref="A70:F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38</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581</v>
      </c>
      <c r="B4" s="5"/>
      <c r="C4" s="5"/>
      <c r="D4" s="5"/>
      <c r="E4" s="5"/>
      <c r="F4" s="5"/>
    </row>
    <row r="5" customFormat="false" ht="15" hidden="false" customHeight="true" outlineLevel="0" collapsed="false"/>
    <row r="6" customFormat="false" ht="15" hidden="false" customHeight="true" outlineLevel="0" collapsed="false">
      <c r="A6" s="13" t="s">
        <v>582</v>
      </c>
      <c r="B6" s="13"/>
      <c r="C6" s="13"/>
      <c r="D6" s="13"/>
      <c r="E6" s="13"/>
      <c r="F6" s="13"/>
    </row>
    <row r="7" customFormat="false" ht="15" hidden="false" customHeight="true" outlineLevel="0" collapsed="false">
      <c r="A7" s="22" t="s">
        <v>583</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584</v>
      </c>
      <c r="B9" s="15" t="n">
        <v>100</v>
      </c>
      <c r="C9" s="16" t="s">
        <v>126</v>
      </c>
      <c r="D9" s="17"/>
      <c r="E9" s="17"/>
      <c r="F9" s="16" t="s">
        <v>585</v>
      </c>
    </row>
    <row r="10" customFormat="false" ht="15" hidden="false" customHeight="true" outlineLevel="0" collapsed="false">
      <c r="A10" s="14" t="s">
        <v>586</v>
      </c>
      <c r="B10" s="15" t="n">
        <v>60</v>
      </c>
      <c r="C10" s="16" t="s">
        <v>126</v>
      </c>
      <c r="D10" s="17"/>
      <c r="E10" s="17"/>
      <c r="F10" s="16" t="s">
        <v>585</v>
      </c>
    </row>
    <row r="11" customFormat="false" ht="15" hidden="false" customHeight="true" outlineLevel="0" collapsed="false">
      <c r="A11" s="14" t="s">
        <v>587</v>
      </c>
      <c r="B11" s="19" t="n">
        <f aca="false">$B$9-$B$10</f>
        <v>40</v>
      </c>
      <c r="C11" s="16" t="s">
        <v>126</v>
      </c>
      <c r="D11" s="20" t="n">
        <v>40</v>
      </c>
      <c r="E11" s="21" t="str">
        <f aca="false">IF(ABS(B11-D11)&lt;=0.5,"OK","DIVERSO")</f>
        <v>OK</v>
      </c>
      <c r="F11" s="16" t="s">
        <v>585</v>
      </c>
    </row>
    <row r="12" customFormat="false" ht="15" hidden="false" customHeight="true" outlineLevel="0" collapsed="false">
      <c r="A12" s="14" t="s">
        <v>588</v>
      </c>
      <c r="B12" s="26" t="n">
        <f aca="false">$B$11/$B$9</f>
        <v>0.4</v>
      </c>
      <c r="C12" s="16" t="s">
        <v>319</v>
      </c>
      <c r="D12" s="27" t="n">
        <v>0.4</v>
      </c>
      <c r="E12" s="21" t="str">
        <f aca="false">IF(ABS(B12-D12)&lt;=0.0005,"OK","DIVERSO")</f>
        <v>OK</v>
      </c>
      <c r="F12" s="16" t="s">
        <v>585</v>
      </c>
    </row>
    <row r="13" customFormat="false" ht="15" hidden="false" customHeight="true" outlineLevel="0" collapsed="false">
      <c r="A13" s="14" t="s">
        <v>589</v>
      </c>
      <c r="B13" s="15" t="n">
        <v>70</v>
      </c>
      <c r="C13" s="16" t="s">
        <v>126</v>
      </c>
      <c r="D13" s="17"/>
      <c r="E13" s="17"/>
      <c r="F13" s="16" t="s">
        <v>585</v>
      </c>
    </row>
    <row r="14" customFormat="false" ht="15" hidden="false" customHeight="true" outlineLevel="0" collapsed="false">
      <c r="A14" s="14" t="s">
        <v>590</v>
      </c>
      <c r="B14" s="15" t="n">
        <v>35</v>
      </c>
      <c r="C14" s="16" t="s">
        <v>126</v>
      </c>
      <c r="D14" s="17"/>
      <c r="E14" s="17"/>
      <c r="F14" s="16" t="s">
        <v>585</v>
      </c>
    </row>
    <row r="15" customFormat="false" ht="15" hidden="false" customHeight="true" outlineLevel="0" collapsed="false">
      <c r="A15" s="14" t="s">
        <v>591</v>
      </c>
      <c r="B15" s="19" t="n">
        <f aca="false">$B$13-$B$14</f>
        <v>35</v>
      </c>
      <c r="C15" s="16" t="s">
        <v>126</v>
      </c>
      <c r="D15" s="20" t="n">
        <v>35</v>
      </c>
      <c r="E15" s="21" t="str">
        <f aca="false">IF(ABS(B15-D15)&lt;=0.5,"OK","DIVERSO")</f>
        <v>OK</v>
      </c>
      <c r="F15" s="16" t="s">
        <v>585</v>
      </c>
    </row>
    <row r="16" customFormat="false" ht="15" hidden="false" customHeight="true" outlineLevel="0" collapsed="false">
      <c r="A16" s="14" t="s">
        <v>592</v>
      </c>
      <c r="B16" s="26" t="n">
        <f aca="false">$B$15/$B$13</f>
        <v>0.5</v>
      </c>
      <c r="C16" s="16" t="s">
        <v>319</v>
      </c>
      <c r="D16" s="27" t="n">
        <v>0.5</v>
      </c>
      <c r="E16" s="21" t="str">
        <f aca="false">IF(ABS(B16-D16)&lt;=0.0005,"OK","DIVERSO")</f>
        <v>OK</v>
      </c>
      <c r="F16" s="16" t="s">
        <v>585</v>
      </c>
    </row>
    <row r="17" customFormat="false" ht="15" hidden="false" customHeight="true" outlineLevel="0" collapsed="false">
      <c r="A17" s="14" t="s">
        <v>593</v>
      </c>
      <c r="B17" s="15" t="n">
        <v>150</v>
      </c>
      <c r="C17" s="16" t="s">
        <v>126</v>
      </c>
      <c r="D17" s="17"/>
      <c r="E17" s="17"/>
      <c r="F17" s="16" t="s">
        <v>585</v>
      </c>
    </row>
    <row r="18" customFormat="false" ht="15" hidden="false" customHeight="true" outlineLevel="0" collapsed="false">
      <c r="A18" s="14" t="s">
        <v>594</v>
      </c>
      <c r="B18" s="15" t="n">
        <v>105</v>
      </c>
      <c r="C18" s="16" t="s">
        <v>126</v>
      </c>
      <c r="D18" s="17"/>
      <c r="E18" s="17"/>
      <c r="F18" s="16" t="s">
        <v>585</v>
      </c>
    </row>
    <row r="19" customFormat="false" ht="15" hidden="false" customHeight="true" outlineLevel="0" collapsed="false">
      <c r="A19" s="14" t="s">
        <v>595</v>
      </c>
      <c r="B19" s="19" t="n">
        <f aca="false">$B$17-$B$18</f>
        <v>45</v>
      </c>
      <c r="C19" s="16" t="s">
        <v>126</v>
      </c>
      <c r="D19" s="20" t="n">
        <v>45</v>
      </c>
      <c r="E19" s="21" t="str">
        <f aca="false">IF(ABS(B19-D19)&lt;=0.5,"OK","DIVERSO")</f>
        <v>OK</v>
      </c>
      <c r="F19" s="16" t="s">
        <v>585</v>
      </c>
    </row>
    <row r="20" customFormat="false" ht="15" hidden="false" customHeight="true" outlineLevel="0" collapsed="false">
      <c r="A20" s="14" t="s">
        <v>596</v>
      </c>
      <c r="B20" s="26" t="n">
        <f aca="false">$B$19/$B$17</f>
        <v>0.3</v>
      </c>
      <c r="C20" s="16" t="s">
        <v>319</v>
      </c>
      <c r="D20" s="27" t="n">
        <v>0.3</v>
      </c>
      <c r="E20" s="21" t="str">
        <f aca="false">IF(ABS(B20-D20)&lt;=0.0005,"OK","DIVERSO")</f>
        <v>OK</v>
      </c>
      <c r="F20" s="16" t="s">
        <v>585</v>
      </c>
    </row>
    <row r="21" customFormat="false" ht="15" hidden="false" customHeight="true" outlineLevel="0" collapsed="false"/>
    <row r="22" customFormat="false" ht="15" hidden="false" customHeight="true" outlineLevel="0" collapsed="false">
      <c r="A22" s="13" t="s">
        <v>597</v>
      </c>
      <c r="B22" s="13"/>
      <c r="C22" s="13"/>
      <c r="D22" s="13"/>
      <c r="E22" s="13"/>
      <c r="F22" s="13"/>
    </row>
    <row r="23" customFormat="false" ht="15" hidden="false" customHeight="true" outlineLevel="0" collapsed="false">
      <c r="A23" s="22" t="s">
        <v>598</v>
      </c>
      <c r="B23" s="22"/>
      <c r="C23" s="22"/>
      <c r="D23" s="22"/>
      <c r="E23" s="22"/>
      <c r="F23" s="22"/>
    </row>
    <row r="24" customFormat="false" ht="15" hidden="false" customHeight="true" outlineLevel="0" collapsed="false">
      <c r="A24" s="6" t="s">
        <v>116</v>
      </c>
      <c r="B24" s="6" t="s">
        <v>117</v>
      </c>
      <c r="C24" s="6" t="s">
        <v>118</v>
      </c>
      <c r="D24" s="6" t="s">
        <v>119</v>
      </c>
      <c r="E24" s="6" t="s">
        <v>120</v>
      </c>
      <c r="F24" s="6" t="s">
        <v>121</v>
      </c>
    </row>
    <row r="25" customFormat="false" ht="15" hidden="false" customHeight="true" outlineLevel="0" collapsed="false">
      <c r="A25" s="14" t="s">
        <v>599</v>
      </c>
      <c r="B25" s="15" t="n">
        <v>500000</v>
      </c>
      <c r="C25" s="16" t="s">
        <v>140</v>
      </c>
      <c r="D25" s="17"/>
      <c r="E25" s="17"/>
      <c r="F25" s="16" t="s">
        <v>585</v>
      </c>
    </row>
    <row r="26" customFormat="false" ht="15" hidden="false" customHeight="true" outlineLevel="0" collapsed="false">
      <c r="A26" s="14" t="s">
        <v>166</v>
      </c>
      <c r="B26" s="15" t="n">
        <v>300000</v>
      </c>
      <c r="C26" s="16" t="s">
        <v>140</v>
      </c>
      <c r="D26" s="17"/>
      <c r="E26" s="17"/>
      <c r="F26" s="16" t="s">
        <v>585</v>
      </c>
    </row>
    <row r="27" customFormat="false" ht="15" hidden="false" customHeight="true" outlineLevel="0" collapsed="false">
      <c r="A27" s="14" t="s">
        <v>600</v>
      </c>
      <c r="B27" s="15" t="n">
        <v>70000</v>
      </c>
      <c r="C27" s="16" t="s">
        <v>140</v>
      </c>
      <c r="D27" s="17"/>
      <c r="E27" s="17"/>
      <c r="F27" s="16" t="s">
        <v>585</v>
      </c>
    </row>
    <row r="28" customFormat="false" ht="15" hidden="false" customHeight="true" outlineLevel="0" collapsed="false">
      <c r="A28" s="14" t="s">
        <v>601</v>
      </c>
      <c r="B28" s="15" t="n">
        <v>90000</v>
      </c>
      <c r="C28" s="16" t="s">
        <v>140</v>
      </c>
      <c r="D28" s="17"/>
      <c r="E28" s="17"/>
      <c r="F28" s="16" t="s">
        <v>585</v>
      </c>
    </row>
    <row r="29" customFormat="false" ht="15" hidden="false" customHeight="true" outlineLevel="0" collapsed="false">
      <c r="A29" s="14" t="s">
        <v>167</v>
      </c>
      <c r="B29" s="19" t="n">
        <f aca="false">$B$25-$B$26</f>
        <v>200000</v>
      </c>
      <c r="C29" s="16" t="s">
        <v>140</v>
      </c>
      <c r="D29" s="20" t="n">
        <v>200000</v>
      </c>
      <c r="E29" s="21" t="str">
        <f aca="false">IF(ABS(B29-D29)&lt;=0.5,"OK","DIVERSO")</f>
        <v>OK</v>
      </c>
      <c r="F29" s="16" t="s">
        <v>585</v>
      </c>
    </row>
    <row r="30" customFormat="false" ht="15" hidden="false" customHeight="true" outlineLevel="0" collapsed="false">
      <c r="A30" s="14" t="s">
        <v>602</v>
      </c>
      <c r="B30" s="19" t="n">
        <f aca="false">$B$29-$B$27</f>
        <v>130000</v>
      </c>
      <c r="C30" s="16" t="s">
        <v>140</v>
      </c>
      <c r="D30" s="20" t="n">
        <v>130000</v>
      </c>
      <c r="E30" s="21" t="str">
        <f aca="false">IF(ABS(B30-D30)&lt;=0.5,"OK","DIVERSO")</f>
        <v>OK</v>
      </c>
      <c r="F30" s="16" t="s">
        <v>585</v>
      </c>
    </row>
    <row r="31" customFormat="false" ht="15" hidden="false" customHeight="true" outlineLevel="0" collapsed="false">
      <c r="A31" s="14" t="s">
        <v>160</v>
      </c>
      <c r="B31" s="19" t="n">
        <f aca="false">$B$30-$B$28</f>
        <v>40000</v>
      </c>
      <c r="C31" s="16" t="s">
        <v>140</v>
      </c>
      <c r="D31" s="20" t="n">
        <v>40000</v>
      </c>
      <c r="E31" s="21" t="str">
        <f aca="false">IF(ABS(B31-D31)&lt;=0.5,"OK","DIVERSO")</f>
        <v>OK</v>
      </c>
      <c r="F31" s="16" t="s">
        <v>585</v>
      </c>
    </row>
    <row r="32" customFormat="false" ht="15" hidden="false" customHeight="true" outlineLevel="0" collapsed="false"/>
    <row r="33" customFormat="false" ht="15" hidden="false" customHeight="true" outlineLevel="0" collapsed="false">
      <c r="A33" s="13" t="s">
        <v>603</v>
      </c>
      <c r="B33" s="13"/>
      <c r="C33" s="13"/>
      <c r="D33" s="13"/>
      <c r="E33" s="13"/>
      <c r="F33" s="13"/>
    </row>
    <row r="34" customFormat="false" ht="15" hidden="false" customHeight="true" outlineLevel="0" collapsed="false">
      <c r="A34" s="22" t="s">
        <v>604</v>
      </c>
      <c r="B34" s="22"/>
      <c r="C34" s="22"/>
      <c r="D34" s="22"/>
      <c r="E34" s="22"/>
      <c r="F34" s="22"/>
    </row>
    <row r="35" customFormat="false" ht="15" hidden="false" customHeight="true" outlineLevel="0" collapsed="false">
      <c r="A35" s="6" t="s">
        <v>116</v>
      </c>
      <c r="B35" s="6" t="s">
        <v>117</v>
      </c>
      <c r="C35" s="6" t="s">
        <v>118</v>
      </c>
      <c r="D35" s="6" t="s">
        <v>119</v>
      </c>
      <c r="E35" s="6" t="s">
        <v>120</v>
      </c>
      <c r="F35" s="6" t="s">
        <v>121</v>
      </c>
    </row>
    <row r="36" customFormat="false" ht="15" hidden="false" customHeight="true" outlineLevel="0" collapsed="false">
      <c r="A36" s="14" t="s">
        <v>605</v>
      </c>
      <c r="B36" s="15" t="n">
        <v>250000</v>
      </c>
      <c r="C36" s="16" t="s">
        <v>140</v>
      </c>
      <c r="D36" s="17"/>
      <c r="E36" s="17"/>
      <c r="F36" s="16" t="s">
        <v>585</v>
      </c>
    </row>
    <row r="37" customFormat="false" ht="15" hidden="false" customHeight="true" outlineLevel="0" collapsed="false">
      <c r="A37" s="14" t="s">
        <v>606</v>
      </c>
      <c r="B37" s="15" t="n">
        <v>145000</v>
      </c>
      <c r="C37" s="16" t="s">
        <v>140</v>
      </c>
      <c r="D37" s="17"/>
      <c r="E37" s="17"/>
      <c r="F37" s="16" t="s">
        <v>585</v>
      </c>
    </row>
    <row r="38" customFormat="false" ht="15" hidden="false" customHeight="true" outlineLevel="0" collapsed="false">
      <c r="A38" s="14" t="s">
        <v>607</v>
      </c>
      <c r="B38" s="15" t="n">
        <v>32000</v>
      </c>
      <c r="C38" s="16" t="s">
        <v>140</v>
      </c>
      <c r="D38" s="17"/>
      <c r="E38" s="17"/>
      <c r="F38" s="16" t="s">
        <v>585</v>
      </c>
    </row>
    <row r="39" customFormat="false" ht="15" hidden="false" customHeight="true" outlineLevel="0" collapsed="false">
      <c r="A39" s="14" t="s">
        <v>600</v>
      </c>
      <c r="B39" s="15" t="n">
        <v>18000</v>
      </c>
      <c r="C39" s="16" t="s">
        <v>140</v>
      </c>
      <c r="D39" s="17"/>
      <c r="E39" s="17"/>
      <c r="F39" s="16" t="s">
        <v>585</v>
      </c>
    </row>
    <row r="40" customFormat="false" ht="15" hidden="false" customHeight="true" outlineLevel="0" collapsed="false">
      <c r="A40" s="14" t="s">
        <v>608</v>
      </c>
      <c r="B40" s="19" t="n">
        <f aca="false">$B$36-$B$37</f>
        <v>105000</v>
      </c>
      <c r="C40" s="16" t="s">
        <v>140</v>
      </c>
      <c r="D40" s="20" t="n">
        <v>105000</v>
      </c>
      <c r="E40" s="21" t="str">
        <f aca="false">IF(ABS(B40-D40)&lt;=0.5,"OK","DIVERSO")</f>
        <v>OK</v>
      </c>
      <c r="F40" s="16" t="s">
        <v>585</v>
      </c>
    </row>
    <row r="41" customFormat="false" ht="15" hidden="false" customHeight="true" outlineLevel="0" collapsed="false">
      <c r="A41" s="14" t="s">
        <v>609</v>
      </c>
      <c r="B41" s="19" t="n">
        <f aca="false">$B$40-$B$38</f>
        <v>73000</v>
      </c>
      <c r="C41" s="16" t="s">
        <v>140</v>
      </c>
      <c r="D41" s="20" t="n">
        <v>73000</v>
      </c>
      <c r="E41" s="21" t="str">
        <f aca="false">IF(ABS(B41-D41)&lt;=0.5,"OK","DIVERSO")</f>
        <v>OK</v>
      </c>
      <c r="F41" s="16" t="s">
        <v>585</v>
      </c>
    </row>
    <row r="42" customFormat="false" ht="15" hidden="false" customHeight="true" outlineLevel="0" collapsed="false">
      <c r="A42" s="14" t="s">
        <v>602</v>
      </c>
      <c r="B42" s="19" t="n">
        <f aca="false">$B$41-$B$39</f>
        <v>55000</v>
      </c>
      <c r="C42" s="16" t="s">
        <v>140</v>
      </c>
      <c r="D42" s="20" t="n">
        <v>55000</v>
      </c>
      <c r="E42" s="21" t="str">
        <f aca="false">IF(ABS(B42-D42)&lt;=0.5,"OK","DIVERSO")</f>
        <v>OK</v>
      </c>
      <c r="F42" s="16" t="s">
        <v>585</v>
      </c>
    </row>
    <row r="43" customFormat="false" ht="15" hidden="false" customHeight="true" outlineLevel="0" collapsed="false"/>
    <row r="44" customFormat="false" ht="15" hidden="false" customHeight="true" outlineLevel="0" collapsed="false">
      <c r="A44" s="13" t="s">
        <v>610</v>
      </c>
      <c r="B44" s="13"/>
      <c r="C44" s="13"/>
      <c r="D44" s="13"/>
      <c r="E44" s="13"/>
      <c r="F44" s="13"/>
    </row>
    <row r="45" customFormat="false" ht="15" hidden="false" customHeight="true" outlineLevel="0" collapsed="false">
      <c r="A45" s="22" t="s">
        <v>611</v>
      </c>
      <c r="B45" s="22"/>
      <c r="C45" s="22"/>
      <c r="D45" s="22"/>
      <c r="E45" s="22"/>
      <c r="F45" s="22"/>
    </row>
    <row r="46" customFormat="false" ht="15" hidden="false" customHeight="true" outlineLevel="0" collapsed="false">
      <c r="A46" s="6" t="s">
        <v>116</v>
      </c>
      <c r="B46" s="6" t="s">
        <v>117</v>
      </c>
      <c r="C46" s="6" t="s">
        <v>118</v>
      </c>
      <c r="D46" s="6" t="s">
        <v>119</v>
      </c>
      <c r="E46" s="6" t="s">
        <v>120</v>
      </c>
      <c r="F46" s="6" t="s">
        <v>121</v>
      </c>
    </row>
    <row r="47" customFormat="false" ht="15" hidden="false" customHeight="true" outlineLevel="0" collapsed="false">
      <c r="A47" s="14" t="s">
        <v>599</v>
      </c>
      <c r="B47" s="19" t="n">
        <f aca="false">Impresa_guida!$B$34</f>
        <v>3386000</v>
      </c>
      <c r="C47" s="16" t="s">
        <v>140</v>
      </c>
      <c r="D47" s="20" t="n">
        <v>3386000</v>
      </c>
      <c r="E47" s="21" t="str">
        <f aca="false">IF(ABS(B47-D47)&lt;=0.5,"OK","DIVERSO")</f>
        <v>OK</v>
      </c>
      <c r="F47" s="16" t="s">
        <v>585</v>
      </c>
    </row>
    <row r="48" customFormat="false" ht="15" hidden="false" customHeight="true" outlineLevel="0" collapsed="false">
      <c r="A48" s="14" t="s">
        <v>166</v>
      </c>
      <c r="B48" s="19" t="n">
        <f aca="false">Impresa_guida!$B$35</f>
        <v>2324000</v>
      </c>
      <c r="C48" s="16" t="s">
        <v>140</v>
      </c>
      <c r="D48" s="20" t="n">
        <v>2324000</v>
      </c>
      <c r="E48" s="21" t="str">
        <f aca="false">IF(ABS(B48-D48)&lt;=0.5,"OK","DIVERSO")</f>
        <v>OK</v>
      </c>
      <c r="F48" s="16" t="s">
        <v>585</v>
      </c>
    </row>
    <row r="49" customFormat="false" ht="15" hidden="false" customHeight="true" outlineLevel="0" collapsed="false">
      <c r="A49" s="14" t="s">
        <v>167</v>
      </c>
      <c r="B49" s="19" t="n">
        <f aca="false">$B$47-$B$48</f>
        <v>1062000</v>
      </c>
      <c r="C49" s="16" t="s">
        <v>140</v>
      </c>
      <c r="D49" s="20" t="n">
        <v>1062000</v>
      </c>
      <c r="E49" s="21" t="str">
        <f aca="false">IF(ABS(B49-D49)&lt;=0.5,"OK","DIVERSO")</f>
        <v>OK</v>
      </c>
      <c r="F49" s="16" t="s">
        <v>585</v>
      </c>
    </row>
    <row r="50" customFormat="false" ht="15" hidden="false" customHeight="true" outlineLevel="0" collapsed="false">
      <c r="A50" s="14" t="s">
        <v>159</v>
      </c>
      <c r="B50" s="19" t="n">
        <f aca="false">Impresa_guida!$B$41</f>
        <v>820000</v>
      </c>
      <c r="C50" s="16" t="s">
        <v>140</v>
      </c>
      <c r="D50" s="20" t="n">
        <v>820000</v>
      </c>
      <c r="E50" s="21" t="str">
        <f aca="false">IF(ABS(B50-D50)&lt;=0.5,"OK","DIVERSO")</f>
        <v>OK</v>
      </c>
      <c r="F50" s="16" t="s">
        <v>585</v>
      </c>
    </row>
    <row r="51" customFormat="false" ht="15" hidden="false" customHeight="true" outlineLevel="0" collapsed="false">
      <c r="A51" s="14" t="s">
        <v>612</v>
      </c>
      <c r="B51" s="19" t="n">
        <f aca="false">Impresa_guida!$B$39</f>
        <v>84000</v>
      </c>
      <c r="C51" s="16" t="s">
        <v>140</v>
      </c>
      <c r="D51" s="20" t="n">
        <v>84000</v>
      </c>
      <c r="E51" s="21" t="str">
        <f aca="false">IF(ABS(B51-D51)&lt;=0.5,"OK","DIVERSO")</f>
        <v>OK</v>
      </c>
      <c r="F51" s="16" t="s">
        <v>585</v>
      </c>
    </row>
    <row r="52" customFormat="false" ht="15" hidden="false" customHeight="true" outlineLevel="0" collapsed="false">
      <c r="A52" s="14" t="s">
        <v>160</v>
      </c>
      <c r="B52" s="19" t="n">
        <f aca="false">$B$49-$B$50</f>
        <v>242000</v>
      </c>
      <c r="C52" s="16" t="s">
        <v>140</v>
      </c>
      <c r="D52" s="20" t="n">
        <v>242000</v>
      </c>
      <c r="E52" s="21" t="str">
        <f aca="false">IF(ABS(B52-D52)&lt;=0.5,"OK","DIVERSO")</f>
        <v>OK</v>
      </c>
      <c r="F52" s="16" t="s">
        <v>585</v>
      </c>
    </row>
    <row r="53" customFormat="false" ht="15" hidden="false" customHeight="true" outlineLevel="0" collapsed="false">
      <c r="A53" s="14" t="s">
        <v>613</v>
      </c>
      <c r="B53" s="26" t="n">
        <f aca="false">$B$49/$B$47</f>
        <v>0.313644418192558</v>
      </c>
      <c r="C53" s="16" t="s">
        <v>319</v>
      </c>
      <c r="D53" s="27" t="n">
        <v>0.314</v>
      </c>
      <c r="E53" s="21" t="str">
        <f aca="false">IF(ABS(B53-D53)&lt;=0.0005,"OK","DIVERSO")</f>
        <v>OK</v>
      </c>
      <c r="F53" s="16" t="s">
        <v>585</v>
      </c>
    </row>
    <row r="54" customFormat="false" ht="15" hidden="false" customHeight="true" outlineLevel="0" collapsed="false">
      <c r="A54" s="14" t="s">
        <v>614</v>
      </c>
      <c r="B54" s="26" t="n">
        <f aca="false">$B$48/$B$47</f>
        <v>0.686355581807442</v>
      </c>
      <c r="C54" s="16" t="s">
        <v>319</v>
      </c>
      <c r="D54" s="27" t="n">
        <v>0.686</v>
      </c>
      <c r="E54" s="21" t="str">
        <f aca="false">IF(ABS(B54-D54)&lt;=0.0005,"OK","DIVERSO")</f>
        <v>OK</v>
      </c>
      <c r="F54" s="16" t="s">
        <v>585</v>
      </c>
    </row>
    <row r="55" customFormat="false" ht="15" hidden="false" customHeight="true" outlineLevel="0" collapsed="false">
      <c r="A55" s="14" t="s">
        <v>615</v>
      </c>
      <c r="B55" s="26" t="n">
        <f aca="false">$B$50/$B$47</f>
        <v>0.242173656231542</v>
      </c>
      <c r="C55" s="16" t="s">
        <v>319</v>
      </c>
      <c r="D55" s="27" t="n">
        <v>0.242</v>
      </c>
      <c r="E55" s="21" t="str">
        <f aca="false">IF(ABS(B55-D55)&lt;=0.0005,"OK","DIVERSO")</f>
        <v>OK</v>
      </c>
      <c r="F55" s="16" t="s">
        <v>585</v>
      </c>
    </row>
    <row r="56" customFormat="false" ht="15" hidden="false" customHeight="true" outlineLevel="0" collapsed="false">
      <c r="A56" s="14" t="s">
        <v>616</v>
      </c>
      <c r="B56" s="26" t="n">
        <f aca="false">$B$52/$B$47</f>
        <v>0.0714707619610159</v>
      </c>
      <c r="C56" s="16" t="s">
        <v>319</v>
      </c>
      <c r="D56" s="27" t="n">
        <v>0.071</v>
      </c>
      <c r="E56" s="21" t="str">
        <f aca="false">IF(ABS(B56-D56)&lt;=0.0005,"OK","DIVERSO")</f>
        <v>OK</v>
      </c>
      <c r="F56" s="16" t="s">
        <v>585</v>
      </c>
    </row>
    <row r="57" customFormat="false" ht="15" hidden="false" customHeight="true" outlineLevel="0" collapsed="false">
      <c r="A57" s="14" t="s">
        <v>617</v>
      </c>
      <c r="B57" s="26" t="n">
        <f aca="false">ROUND($B$54,3)+ROUND($B$55,3)+ROUND($B$56,3)</f>
        <v>0.999</v>
      </c>
      <c r="C57" s="16" t="s">
        <v>319</v>
      </c>
      <c r="D57" s="27" t="n">
        <v>0.999</v>
      </c>
      <c r="E57" s="21" t="str">
        <f aca="false">IF(ABS(B57-D57)&lt;=0.0005,"OK","DIVERSO")</f>
        <v>OK</v>
      </c>
      <c r="F57" s="16" t="s">
        <v>585</v>
      </c>
    </row>
    <row r="58" customFormat="false" ht="15" hidden="false" customHeight="true" outlineLevel="0" collapsed="false"/>
    <row r="59" customFormat="false" ht="15" hidden="false" customHeight="true" outlineLevel="0" collapsed="false">
      <c r="A59" s="13" t="s">
        <v>618</v>
      </c>
      <c r="B59" s="13"/>
      <c r="C59" s="13"/>
      <c r="D59" s="13"/>
      <c r="E59" s="13"/>
      <c r="F59" s="13"/>
    </row>
    <row r="60" customFormat="false" ht="15" hidden="false" customHeight="true" outlineLevel="0" collapsed="false">
      <c r="A60" s="22" t="s">
        <v>619</v>
      </c>
      <c r="B60" s="22"/>
      <c r="C60" s="22"/>
      <c r="D60" s="22"/>
      <c r="E60" s="22"/>
      <c r="F60" s="22"/>
    </row>
    <row r="61" customFormat="false" ht="15" hidden="false" customHeight="true" outlineLevel="0" collapsed="false">
      <c r="A61" s="6" t="s">
        <v>116</v>
      </c>
      <c r="B61" s="6" t="s">
        <v>117</v>
      </c>
      <c r="C61" s="6" t="s">
        <v>118</v>
      </c>
      <c r="D61" s="6" t="s">
        <v>119</v>
      </c>
      <c r="E61" s="6" t="s">
        <v>120</v>
      </c>
      <c r="F61" s="6" t="s">
        <v>121</v>
      </c>
    </row>
    <row r="62" customFormat="false" ht="15" hidden="false" customHeight="true" outlineLevel="0" collapsed="false">
      <c r="A62" s="14" t="s">
        <v>148</v>
      </c>
      <c r="B62" s="19" t="n">
        <f aca="false">Impresa_guida!$B$31</f>
        <v>1440000</v>
      </c>
      <c r="C62" s="16" t="s">
        <v>140</v>
      </c>
      <c r="D62" s="20" t="n">
        <v>1440000</v>
      </c>
      <c r="E62" s="21" t="str">
        <f aca="false">IF(ABS(B62-D62)&lt;=0.5,"OK","DIVERSO")</f>
        <v>OK</v>
      </c>
      <c r="F62" s="16" t="s">
        <v>585</v>
      </c>
    </row>
    <row r="63" customFormat="false" ht="15" hidden="false" customHeight="true" outlineLevel="0" collapsed="false">
      <c r="A63" s="14" t="s">
        <v>150</v>
      </c>
      <c r="B63" s="19" t="n">
        <f aca="false">Impresa_guida!$B$32</f>
        <v>1368000</v>
      </c>
      <c r="C63" s="16" t="s">
        <v>140</v>
      </c>
      <c r="D63" s="20" t="n">
        <v>1368000</v>
      </c>
      <c r="E63" s="21" t="str">
        <f aca="false">IF(ABS(B63-D63)&lt;=0.5,"OK","DIVERSO")</f>
        <v>OK</v>
      </c>
      <c r="F63" s="16" t="s">
        <v>585</v>
      </c>
    </row>
    <row r="64" customFormat="false" ht="15" hidden="false" customHeight="true" outlineLevel="0" collapsed="false">
      <c r="A64" s="14" t="s">
        <v>151</v>
      </c>
      <c r="B64" s="19" t="n">
        <f aca="false">Impresa_guida!$B$33</f>
        <v>578000</v>
      </c>
      <c r="C64" s="16" t="s">
        <v>140</v>
      </c>
      <c r="D64" s="20" t="n">
        <v>578000</v>
      </c>
      <c r="E64" s="21" t="str">
        <f aca="false">IF(ABS(B64-D64)&lt;=0.5,"OK","DIVERSO")</f>
        <v>OK</v>
      </c>
      <c r="F64" s="16" t="s">
        <v>585</v>
      </c>
    </row>
    <row r="65" customFormat="false" ht="15" hidden="false" customHeight="true" outlineLevel="0" collapsed="false">
      <c r="A65" s="14" t="s">
        <v>620</v>
      </c>
      <c r="B65" s="19" t="n">
        <f aca="false">Impresa_guida!$B$8*Impresa_guida!$B$10</f>
        <v>936000</v>
      </c>
      <c r="C65" s="16" t="s">
        <v>140</v>
      </c>
      <c r="D65" s="20" t="n">
        <v>936000</v>
      </c>
      <c r="E65" s="21" t="str">
        <f aca="false">IF(ABS(B65-D65)&lt;=0.5,"OK","DIVERSO")</f>
        <v>OK</v>
      </c>
      <c r="F65" s="16" t="s">
        <v>585</v>
      </c>
    </row>
    <row r="66" customFormat="false" ht="15" hidden="false" customHeight="true" outlineLevel="0" collapsed="false">
      <c r="A66" s="14" t="s">
        <v>621</v>
      </c>
      <c r="B66" s="19" t="n">
        <f aca="false">Impresa_guida!$B$12*Impresa_guida!$B$14</f>
        <v>912000</v>
      </c>
      <c r="C66" s="16" t="s">
        <v>140</v>
      </c>
      <c r="D66" s="20" t="n">
        <v>912000</v>
      </c>
      <c r="E66" s="21" t="str">
        <f aca="false">IF(ABS(B66-D66)&lt;=0.5,"OK","DIVERSO")</f>
        <v>OK</v>
      </c>
      <c r="F66" s="16" t="s">
        <v>585</v>
      </c>
    </row>
    <row r="67" customFormat="false" ht="15" hidden="false" customHeight="true" outlineLevel="0" collapsed="false">
      <c r="A67" s="14" t="s">
        <v>622</v>
      </c>
      <c r="B67" s="19" t="n">
        <f aca="false">Impresa_guida!$B$16*Impresa_guida!$B$18</f>
        <v>476000</v>
      </c>
      <c r="C67" s="16" t="s">
        <v>140</v>
      </c>
      <c r="D67" s="20" t="n">
        <v>476000</v>
      </c>
      <c r="E67" s="21" t="str">
        <f aca="false">IF(ABS(B67-D67)&lt;=0.5,"OK","DIVERSO")</f>
        <v>OK</v>
      </c>
      <c r="F67" s="16" t="s">
        <v>585</v>
      </c>
    </row>
    <row r="68" customFormat="false" ht="15" hidden="false" customHeight="true" outlineLevel="0" collapsed="false">
      <c r="A68" s="14" t="s">
        <v>153</v>
      </c>
      <c r="B68" s="19" t="n">
        <f aca="false">$B$65+$B$66+$B$67</f>
        <v>2324000</v>
      </c>
      <c r="C68" s="16" t="s">
        <v>140</v>
      </c>
      <c r="D68" s="20" t="n">
        <v>2324000</v>
      </c>
      <c r="E68" s="21" t="str">
        <f aca="false">IF(ABS(B68-D68)&lt;=0.5,"OK","DIVERSO")</f>
        <v>OK</v>
      </c>
      <c r="F68" s="16" t="s">
        <v>585</v>
      </c>
    </row>
    <row r="69" customFormat="false" ht="15" hidden="false" customHeight="true" outlineLevel="0" collapsed="false">
      <c r="A69" s="14" t="s">
        <v>623</v>
      </c>
      <c r="B69" s="19" t="n">
        <f aca="false">$B$62-$B$65</f>
        <v>504000</v>
      </c>
      <c r="C69" s="16" t="s">
        <v>140</v>
      </c>
      <c r="D69" s="20" t="n">
        <v>504000</v>
      </c>
      <c r="E69" s="21" t="str">
        <f aca="false">IF(ABS(B69-D69)&lt;=0.5,"OK","DIVERSO")</f>
        <v>OK</v>
      </c>
      <c r="F69" s="16" t="s">
        <v>585</v>
      </c>
    </row>
    <row r="70" customFormat="false" ht="15" hidden="false" customHeight="true" outlineLevel="0" collapsed="false">
      <c r="A70" s="14" t="s">
        <v>624</v>
      </c>
      <c r="B70" s="19" t="n">
        <f aca="false">$B$63-$B$66</f>
        <v>456000</v>
      </c>
      <c r="C70" s="16" t="s">
        <v>140</v>
      </c>
      <c r="D70" s="20" t="n">
        <v>456000</v>
      </c>
      <c r="E70" s="21" t="str">
        <f aca="false">IF(ABS(B70-D70)&lt;=0.5,"OK","DIVERSO")</f>
        <v>OK</v>
      </c>
      <c r="F70" s="16" t="s">
        <v>585</v>
      </c>
    </row>
    <row r="71" customFormat="false" ht="15" hidden="false" customHeight="true" outlineLevel="0" collapsed="false">
      <c r="A71" s="14" t="s">
        <v>625</v>
      </c>
      <c r="B71" s="19" t="n">
        <f aca="false">$B$64-$B$67</f>
        <v>102000</v>
      </c>
      <c r="C71" s="16" t="s">
        <v>140</v>
      </c>
      <c r="D71" s="20" t="n">
        <v>102000</v>
      </c>
      <c r="E71" s="21" t="str">
        <f aca="false">IF(ABS(B71-D71)&lt;=0.5,"OK","DIVERSO")</f>
        <v>OK</v>
      </c>
      <c r="F71" s="16" t="s">
        <v>585</v>
      </c>
    </row>
    <row r="72" customFormat="false" ht="15" hidden="false" customHeight="true" outlineLevel="0" collapsed="false">
      <c r="A72" s="14" t="s">
        <v>626</v>
      </c>
      <c r="B72" s="19" t="n">
        <f aca="false">$B$69+$B$70+$B$71</f>
        <v>1062000</v>
      </c>
      <c r="C72" s="16" t="s">
        <v>140</v>
      </c>
      <c r="D72" s="20" t="n">
        <v>1062000</v>
      </c>
      <c r="E72" s="21" t="str">
        <f aca="false">IF(ABS(B72-D72)&lt;=0.5,"OK","DIVERSO")</f>
        <v>OK</v>
      </c>
      <c r="F72" s="16" t="s">
        <v>585</v>
      </c>
    </row>
    <row r="73" customFormat="false" ht="15" hidden="false" customHeight="true" outlineLevel="0" collapsed="false">
      <c r="A73" s="14" t="s">
        <v>627</v>
      </c>
      <c r="B73" s="26" t="n">
        <f aca="false">$B$69/$B$62</f>
        <v>0.35</v>
      </c>
      <c r="C73" s="16" t="s">
        <v>319</v>
      </c>
      <c r="D73" s="27" t="n">
        <v>0.35</v>
      </c>
      <c r="E73" s="21" t="str">
        <f aca="false">IF(ABS(B73-D73)&lt;=0.0005,"OK","DIVERSO")</f>
        <v>OK</v>
      </c>
      <c r="F73" s="16" t="s">
        <v>585</v>
      </c>
    </row>
    <row r="74" customFormat="false" ht="15" hidden="false" customHeight="true" outlineLevel="0" collapsed="false">
      <c r="A74" s="14" t="s">
        <v>628</v>
      </c>
      <c r="B74" s="26" t="n">
        <f aca="false">$B$70/$B$63</f>
        <v>0.333333333333333</v>
      </c>
      <c r="C74" s="16" t="s">
        <v>319</v>
      </c>
      <c r="D74" s="27" t="n">
        <v>0.333</v>
      </c>
      <c r="E74" s="21" t="str">
        <f aca="false">IF(ABS(B74-D74)&lt;=0.0005,"OK","DIVERSO")</f>
        <v>OK</v>
      </c>
      <c r="F74" s="16" t="s">
        <v>585</v>
      </c>
    </row>
    <row r="75" customFormat="false" ht="15" hidden="false" customHeight="true" outlineLevel="0" collapsed="false">
      <c r="A75" s="14" t="s">
        <v>629</v>
      </c>
      <c r="B75" s="26" t="n">
        <f aca="false">$B$71/$B$64</f>
        <v>0.176470588235294</v>
      </c>
      <c r="C75" s="16" t="s">
        <v>319</v>
      </c>
      <c r="D75" s="27" t="n">
        <v>0.176</v>
      </c>
      <c r="E75" s="21" t="str">
        <f aca="false">IF(ABS(B75-D75)&lt;=0.0005,"OK","DIVERSO")</f>
        <v>OK</v>
      </c>
      <c r="F75" s="16" t="s">
        <v>585</v>
      </c>
    </row>
    <row r="76" customFormat="false" ht="15" hidden="false" customHeight="true" outlineLevel="0" collapsed="false">
      <c r="A76" s="14" t="s">
        <v>630</v>
      </c>
      <c r="B76" s="26" t="n">
        <f aca="false">$B$72/Impresa_guida!$B$34</f>
        <v>0.313644418192558</v>
      </c>
      <c r="C76" s="16" t="s">
        <v>319</v>
      </c>
      <c r="D76" s="27" t="n">
        <v>0.314</v>
      </c>
      <c r="E76" s="21" t="str">
        <f aca="false">IF(ABS(B76-D76)&lt;=0.0005,"OK","DIVERSO")</f>
        <v>OK</v>
      </c>
      <c r="F76" s="16" t="s">
        <v>585</v>
      </c>
    </row>
    <row r="77" customFormat="false" ht="15" hidden="false" customHeight="true" outlineLevel="0" collapsed="false">
      <c r="A77" s="14" t="s">
        <v>631</v>
      </c>
      <c r="B77" s="19" t="n">
        <f aca="false">Impresa_guida!$B$9-Impresa_guida!$B$10</f>
        <v>63</v>
      </c>
      <c r="C77" s="16" t="s">
        <v>126</v>
      </c>
      <c r="D77" s="20" t="n">
        <v>63</v>
      </c>
      <c r="E77" s="21" t="str">
        <f aca="false">IF(ABS(B77-D77)&lt;=0.5,"OK","DIVERSO")</f>
        <v>OK</v>
      </c>
      <c r="F77" s="16" t="s">
        <v>585</v>
      </c>
    </row>
    <row r="78" customFormat="false" ht="15" hidden="false" customHeight="true" outlineLevel="0" collapsed="false">
      <c r="A78" s="14" t="s">
        <v>632</v>
      </c>
      <c r="B78" s="19" t="n">
        <f aca="false">Impresa_guida!$B$13-Impresa_guida!$B$14</f>
        <v>38</v>
      </c>
      <c r="C78" s="16" t="s">
        <v>126</v>
      </c>
      <c r="D78" s="20" t="n">
        <v>38</v>
      </c>
      <c r="E78" s="21" t="str">
        <f aca="false">IF(ABS(B78-D78)&lt;=0.5,"OK","DIVERSO")</f>
        <v>OK</v>
      </c>
      <c r="F78" s="16" t="s">
        <v>585</v>
      </c>
    </row>
    <row r="79" customFormat="false" ht="15" hidden="false" customHeight="true" outlineLevel="0" collapsed="false">
      <c r="A79" s="14" t="s">
        <v>633</v>
      </c>
      <c r="B79" s="19" t="n">
        <f aca="false">Impresa_guida!$B$17-Impresa_guida!$B$18</f>
        <v>51</v>
      </c>
      <c r="C79" s="16" t="s">
        <v>126</v>
      </c>
      <c r="D79" s="20" t="n">
        <v>51</v>
      </c>
      <c r="E79" s="21" t="str">
        <f aca="false">IF(ABS(B79-D79)&lt;=0.5,"OK","DIVERSO")</f>
        <v>OK</v>
      </c>
      <c r="F79" s="16" t="s">
        <v>585</v>
      </c>
    </row>
    <row r="80" customFormat="false" ht="15" hidden="false" customHeight="true" outlineLevel="0" collapsed="false">
      <c r="A80" s="14" t="s">
        <v>634</v>
      </c>
      <c r="B80" s="28" t="str">
        <f aca="false">IF($B$79&gt;$B$78,"Linea C","Linea B")</f>
        <v>Linea C</v>
      </c>
      <c r="C80" s="16"/>
      <c r="D80" s="29" t="s">
        <v>635</v>
      </c>
      <c r="E80" s="21" t="str">
        <f aca="false">IF(B80=D80,"OK","DIVERSO")</f>
        <v>OK</v>
      </c>
      <c r="F80" s="16" t="s">
        <v>585</v>
      </c>
    </row>
    <row r="81" customFormat="false" ht="15" hidden="false" customHeight="true" outlineLevel="0" collapsed="false">
      <c r="A81" s="14" t="s">
        <v>636</v>
      </c>
      <c r="B81" s="28" t="str">
        <f aca="false">IF($B$70&gt;$B$71,"Linea B","Linea C")</f>
        <v>Linea B</v>
      </c>
      <c r="C81" s="16"/>
      <c r="D81" s="29" t="s">
        <v>637</v>
      </c>
      <c r="E81" s="21" t="str">
        <f aca="false">IF(B81=D81,"OK","DIVERSO")</f>
        <v>OK</v>
      </c>
      <c r="F81" s="16" t="s">
        <v>585</v>
      </c>
    </row>
    <row r="82" customFormat="false" ht="15" hidden="false" customHeight="true" outlineLevel="0" collapsed="false"/>
    <row r="83" customFormat="false" ht="15" hidden="false" customHeight="true" outlineLevel="0" collapsed="false">
      <c r="A83" s="13" t="s">
        <v>638</v>
      </c>
      <c r="B83" s="13"/>
      <c r="C83" s="13"/>
      <c r="D83" s="13"/>
      <c r="E83" s="13"/>
      <c r="F83" s="13"/>
    </row>
    <row r="84" customFormat="false" ht="15" hidden="false" customHeight="true" outlineLevel="0" collapsed="false">
      <c r="A84" s="22" t="s">
        <v>639</v>
      </c>
      <c r="B84" s="22"/>
      <c r="C84" s="22"/>
      <c r="D84" s="22"/>
      <c r="E84" s="22"/>
      <c r="F84" s="22"/>
    </row>
    <row r="85" customFormat="false" ht="15" hidden="false" customHeight="true" outlineLevel="0" collapsed="false">
      <c r="A85" s="6" t="s">
        <v>116</v>
      </c>
      <c r="B85" s="6" t="s">
        <v>117</v>
      </c>
      <c r="C85" s="6" t="s">
        <v>118</v>
      </c>
      <c r="D85" s="6" t="s">
        <v>119</v>
      </c>
      <c r="E85" s="6" t="s">
        <v>120</v>
      </c>
      <c r="F85" s="6" t="s">
        <v>121</v>
      </c>
    </row>
    <row r="86" customFormat="false" ht="15" hidden="false" customHeight="true" outlineLevel="0" collapsed="false">
      <c r="A86" s="14" t="s">
        <v>640</v>
      </c>
      <c r="B86" s="15" t="n">
        <v>459000</v>
      </c>
      <c r="C86" s="16" t="s">
        <v>140</v>
      </c>
      <c r="D86" s="17"/>
      <c r="E86" s="17"/>
      <c r="F86" s="16" t="s">
        <v>585</v>
      </c>
    </row>
    <row r="87" customFormat="false" ht="15" hidden="false" customHeight="true" outlineLevel="0" collapsed="false">
      <c r="A87" s="14" t="s">
        <v>641</v>
      </c>
      <c r="B87" s="15" t="n">
        <v>603000</v>
      </c>
      <c r="C87" s="16" t="s">
        <v>140</v>
      </c>
      <c r="D87" s="17"/>
      <c r="E87" s="17"/>
      <c r="F87" s="16" t="s">
        <v>585</v>
      </c>
    </row>
    <row r="88" customFormat="false" ht="15" hidden="false" customHeight="true" outlineLevel="0" collapsed="false">
      <c r="A88" s="14" t="s">
        <v>642</v>
      </c>
      <c r="B88" s="26" t="n">
        <f aca="false">$B$86/Cap_05!$B$12</f>
        <v>0.376229508196721</v>
      </c>
      <c r="C88" s="16" t="s">
        <v>319</v>
      </c>
      <c r="D88" s="27" t="n">
        <v>0.376</v>
      </c>
      <c r="E88" s="21" t="str">
        <f aca="false">IF(ABS(B88-D88)&lt;=0.0005,"OK","DIVERSO")</f>
        <v>OK</v>
      </c>
      <c r="F88" s="16" t="s">
        <v>585</v>
      </c>
    </row>
    <row r="89" customFormat="false" ht="15" hidden="false" customHeight="true" outlineLevel="0" collapsed="false">
      <c r="A89" s="14" t="s">
        <v>643</v>
      </c>
      <c r="B89" s="26" t="n">
        <f aca="false">$B$87/Cap_05!$B$13</f>
        <v>0.278393351800554</v>
      </c>
      <c r="C89" s="16" t="s">
        <v>319</v>
      </c>
      <c r="D89" s="27" t="n">
        <v>0.278</v>
      </c>
      <c r="E89" s="21" t="str">
        <f aca="false">IF(ABS(B89-D89)&lt;=0.0005,"OK","DIVERSO")</f>
        <v>OK</v>
      </c>
      <c r="F89" s="16" t="s">
        <v>585</v>
      </c>
    </row>
    <row r="90" customFormat="false" ht="15" hidden="false" customHeight="true" outlineLevel="0" collapsed="false">
      <c r="A90" s="14" t="s">
        <v>644</v>
      </c>
      <c r="B90" s="19" t="n">
        <f aca="false">$B$86+$B$87</f>
        <v>1062000</v>
      </c>
      <c r="C90" s="16" t="s">
        <v>140</v>
      </c>
      <c r="D90" s="20" t="n">
        <v>1062000</v>
      </c>
      <c r="E90" s="21" t="str">
        <f aca="false">IF(ABS(B90-D90)&lt;=0.5,"OK","DIVERSO")</f>
        <v>OK</v>
      </c>
      <c r="F90" s="16" t="s">
        <v>585</v>
      </c>
    </row>
    <row r="91" customFormat="false" ht="15" hidden="false" customHeight="true" outlineLevel="0" collapsed="false">
      <c r="A91" s="14" t="s">
        <v>645</v>
      </c>
      <c r="B91" s="19" t="n">
        <f aca="false">$B$90-$B$72</f>
        <v>0</v>
      </c>
      <c r="C91" s="16" t="s">
        <v>140</v>
      </c>
      <c r="D91" s="20" t="n">
        <v>0</v>
      </c>
      <c r="E91" s="21" t="str">
        <f aca="false">IF(ABS(B91-D91)&lt;=0.5,"OK","DIVERSO")</f>
        <v>OK</v>
      </c>
      <c r="F91" s="16" t="s">
        <v>585</v>
      </c>
    </row>
    <row r="92" customFormat="false" ht="15" hidden="false" customHeight="true" outlineLevel="0" collapsed="false">
      <c r="A92" s="14" t="s">
        <v>646</v>
      </c>
      <c r="B92" s="19" t="n">
        <f aca="false">$B$90-Impresa_guida!$B$41</f>
        <v>242000</v>
      </c>
      <c r="C92" s="16" t="s">
        <v>140</v>
      </c>
      <c r="D92" s="20" t="n">
        <v>242000</v>
      </c>
      <c r="E92" s="21" t="str">
        <f aca="false">IF(ABS(B92-D92)&lt;=0.5,"OK","DIVERSO")</f>
        <v>OK</v>
      </c>
      <c r="F92" s="16" t="s">
        <v>585</v>
      </c>
    </row>
    <row r="93" customFormat="false" ht="15" hidden="false" customHeight="true" outlineLevel="0" collapsed="false"/>
    <row r="94" customFormat="false" ht="15" hidden="false" customHeight="true" outlineLevel="0" collapsed="false">
      <c r="A94" s="13" t="s">
        <v>647</v>
      </c>
      <c r="B94" s="13"/>
      <c r="C94" s="13"/>
      <c r="D94" s="13"/>
      <c r="E94" s="13"/>
      <c r="F94" s="13"/>
    </row>
    <row r="95" customFormat="false" ht="15" hidden="false" customHeight="true" outlineLevel="0" collapsed="false">
      <c r="A95" s="22" t="s">
        <v>648</v>
      </c>
      <c r="B95" s="22"/>
      <c r="C95" s="22"/>
      <c r="D95" s="22"/>
      <c r="E95" s="22"/>
      <c r="F95" s="22"/>
    </row>
    <row r="96" customFormat="false" ht="15" hidden="false" customHeight="true" outlineLevel="0" collapsed="false">
      <c r="A96" s="6" t="s">
        <v>116</v>
      </c>
      <c r="B96" s="6" t="s">
        <v>117</v>
      </c>
      <c r="C96" s="6" t="s">
        <v>118</v>
      </c>
      <c r="D96" s="6" t="s">
        <v>119</v>
      </c>
      <c r="E96" s="6" t="s">
        <v>120</v>
      </c>
      <c r="F96" s="6" t="s">
        <v>121</v>
      </c>
    </row>
    <row r="97" customFormat="false" ht="15" hidden="false" customHeight="true" outlineLevel="0" collapsed="false">
      <c r="A97" s="14" t="s">
        <v>649</v>
      </c>
      <c r="B97" s="15" t="n">
        <v>200</v>
      </c>
      <c r="C97" s="16" t="s">
        <v>126</v>
      </c>
      <c r="D97" s="17"/>
      <c r="E97" s="17"/>
      <c r="F97" s="16" t="s">
        <v>585</v>
      </c>
    </row>
    <row r="98" customFormat="false" ht="15" hidden="false" customHeight="true" outlineLevel="0" collapsed="false">
      <c r="A98" s="14" t="s">
        <v>650</v>
      </c>
      <c r="B98" s="15" t="n">
        <v>120</v>
      </c>
      <c r="C98" s="16" t="s">
        <v>126</v>
      </c>
      <c r="D98" s="17"/>
      <c r="E98" s="17"/>
      <c r="F98" s="16" t="s">
        <v>585</v>
      </c>
    </row>
    <row r="99" customFormat="false" ht="15" hidden="false" customHeight="true" outlineLevel="0" collapsed="false">
      <c r="A99" s="14" t="s">
        <v>651</v>
      </c>
      <c r="B99" s="15" t="n">
        <v>305</v>
      </c>
      <c r="C99" s="16" t="s">
        <v>126</v>
      </c>
      <c r="D99" s="17"/>
      <c r="E99" s="17"/>
      <c r="F99" s="16" t="s">
        <v>585</v>
      </c>
    </row>
    <row r="100" customFormat="false" ht="15" hidden="false" customHeight="true" outlineLevel="0" collapsed="false">
      <c r="A100" s="14" t="s">
        <v>652</v>
      </c>
      <c r="B100" s="19" t="n">
        <f aca="false">Impresa_guida!$B$8*$B$97+Impresa_guida!$B$12*$B$98+Impresa_guida!$B$16*$B$99</f>
        <v>3650000</v>
      </c>
      <c r="C100" s="16" t="s">
        <v>140</v>
      </c>
      <c r="D100" s="17"/>
      <c r="E100" s="17"/>
      <c r="F100" s="16" t="s">
        <v>585</v>
      </c>
    </row>
    <row r="101" customFormat="false" ht="15" hidden="false" customHeight="true" outlineLevel="0" collapsed="false">
      <c r="A101" s="14" t="s">
        <v>653</v>
      </c>
      <c r="B101" s="19" t="n">
        <f aca="false">$B$100-Impresa_guida!$B$35</f>
        <v>1326000</v>
      </c>
      <c r="C101" s="16" t="s">
        <v>140</v>
      </c>
      <c r="D101" s="17"/>
      <c r="E101" s="17"/>
      <c r="F101" s="16" t="s">
        <v>585</v>
      </c>
    </row>
    <row r="102" customFormat="false" ht="15" hidden="false" customHeight="true" outlineLevel="0" collapsed="false">
      <c r="A102" s="14" t="s">
        <v>654</v>
      </c>
      <c r="B102" s="26" t="n">
        <f aca="false">$B$101/$B$100</f>
        <v>0.363287671232877</v>
      </c>
      <c r="C102" s="16" t="s">
        <v>319</v>
      </c>
      <c r="D102" s="27" t="n">
        <v>0.363</v>
      </c>
      <c r="E102" s="21" t="str">
        <f aca="false">IF(ABS(B102-D102)&lt;=0.0005,"OK","DIVERSO")</f>
        <v>OK</v>
      </c>
      <c r="F102" s="16" t="s">
        <v>585</v>
      </c>
    </row>
  </sheetData>
  <mergeCells count="16">
    <mergeCell ref="A1:F1"/>
    <mergeCell ref="A4:F4"/>
    <mergeCell ref="A6:F6"/>
    <mergeCell ref="A7:F7"/>
    <mergeCell ref="A22:F22"/>
    <mergeCell ref="A23:F23"/>
    <mergeCell ref="A33:F33"/>
    <mergeCell ref="A34:F34"/>
    <mergeCell ref="A44:F44"/>
    <mergeCell ref="A45:F45"/>
    <mergeCell ref="A59:F59"/>
    <mergeCell ref="A60:F60"/>
    <mergeCell ref="A83:F83"/>
    <mergeCell ref="A84:F84"/>
    <mergeCell ref="A94:F94"/>
    <mergeCell ref="A95:F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41</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655</v>
      </c>
      <c r="B4" s="5"/>
      <c r="C4" s="5"/>
      <c r="D4" s="5"/>
      <c r="E4" s="5"/>
      <c r="F4" s="5"/>
    </row>
    <row r="5" customFormat="false" ht="15" hidden="false" customHeight="true" outlineLevel="0" collapsed="false"/>
    <row r="6" customFormat="false" ht="15" hidden="false" customHeight="true" outlineLevel="0" collapsed="false">
      <c r="A6" s="13" t="s">
        <v>656</v>
      </c>
      <c r="B6" s="13"/>
      <c r="C6" s="13"/>
      <c r="D6" s="13"/>
      <c r="E6" s="13"/>
      <c r="F6" s="13"/>
    </row>
    <row r="7" customFormat="false" ht="15" hidden="false" customHeight="true" outlineLevel="0" collapsed="false">
      <c r="A7" s="22" t="s">
        <v>657</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658</v>
      </c>
      <c r="B9" s="15" t="n">
        <v>100</v>
      </c>
      <c r="C9" s="16" t="s">
        <v>126</v>
      </c>
      <c r="D9" s="17"/>
      <c r="E9" s="17"/>
      <c r="F9" s="16" t="s">
        <v>659</v>
      </c>
    </row>
    <row r="10" customFormat="false" ht="15" hidden="false" customHeight="true" outlineLevel="0" collapsed="false">
      <c r="A10" s="14" t="s">
        <v>303</v>
      </c>
      <c r="B10" s="15" t="n">
        <v>60</v>
      </c>
      <c r="C10" s="16" t="s">
        <v>126</v>
      </c>
      <c r="D10" s="17"/>
      <c r="E10" s="17"/>
      <c r="F10" s="16" t="s">
        <v>659</v>
      </c>
    </row>
    <row r="11" customFormat="false" ht="15" hidden="false" customHeight="true" outlineLevel="0" collapsed="false">
      <c r="A11" s="14" t="s">
        <v>660</v>
      </c>
      <c r="B11" s="15" t="n">
        <v>200000</v>
      </c>
      <c r="C11" s="16" t="s">
        <v>140</v>
      </c>
      <c r="D11" s="17"/>
      <c r="E11" s="17"/>
      <c r="F11" s="16" t="s">
        <v>659</v>
      </c>
    </row>
    <row r="12" customFormat="false" ht="15" hidden="false" customHeight="true" outlineLevel="0" collapsed="false">
      <c r="A12" s="14" t="s">
        <v>661</v>
      </c>
      <c r="B12" s="19" t="n">
        <f aca="false">$B$9-$B$10</f>
        <v>40</v>
      </c>
      <c r="C12" s="16" t="s">
        <v>126</v>
      </c>
      <c r="D12" s="20" t="n">
        <v>40</v>
      </c>
      <c r="E12" s="21" t="str">
        <f aca="false">IF(ABS(B12-D12)&lt;=0.5,"OK","DIVERSO")</f>
        <v>OK</v>
      </c>
      <c r="F12" s="16" t="s">
        <v>659</v>
      </c>
    </row>
    <row r="13" customFormat="false" ht="15" hidden="false" customHeight="true" outlineLevel="0" collapsed="false">
      <c r="A13" s="14" t="s">
        <v>662</v>
      </c>
      <c r="B13" s="19" t="n">
        <f aca="false">ROUNDUP($B$11/$B$12,0)</f>
        <v>5000</v>
      </c>
      <c r="C13" s="16" t="s">
        <v>123</v>
      </c>
      <c r="D13" s="20" t="n">
        <v>5000</v>
      </c>
      <c r="E13" s="21" t="str">
        <f aca="false">IF(ABS(B13-D13)&lt;=0.5,"OK","DIVERSO")</f>
        <v>OK</v>
      </c>
      <c r="F13" s="16" t="s">
        <v>659</v>
      </c>
    </row>
    <row r="14" customFormat="false" ht="15" hidden="false" customHeight="true" outlineLevel="0" collapsed="false">
      <c r="A14" s="14" t="s">
        <v>663</v>
      </c>
      <c r="B14" s="19" t="n">
        <f aca="false">$B$13*$B$9</f>
        <v>500000</v>
      </c>
      <c r="C14" s="16" t="s">
        <v>140</v>
      </c>
      <c r="D14" s="20" t="n">
        <v>500000</v>
      </c>
      <c r="E14" s="21" t="str">
        <f aca="false">IF(ABS(B14-D14)&lt;=0.5,"OK","DIVERSO")</f>
        <v>OK</v>
      </c>
      <c r="F14" s="16" t="s">
        <v>659</v>
      </c>
    </row>
    <row r="15" customFormat="false" ht="15" hidden="false" customHeight="true" outlineLevel="0" collapsed="false">
      <c r="A15" s="14" t="s">
        <v>664</v>
      </c>
      <c r="B15" s="19" t="n">
        <f aca="false">$B$13*$B$10</f>
        <v>300000</v>
      </c>
      <c r="C15" s="16" t="s">
        <v>140</v>
      </c>
      <c r="D15" s="20" t="n">
        <v>300000</v>
      </c>
      <c r="E15" s="21" t="str">
        <f aca="false">IF(ABS(B15-D15)&lt;=0.5,"OK","DIVERSO")</f>
        <v>OK</v>
      </c>
      <c r="F15" s="16" t="s">
        <v>659</v>
      </c>
    </row>
    <row r="16" customFormat="false" ht="15" hidden="false" customHeight="true" outlineLevel="0" collapsed="false">
      <c r="A16" s="14" t="s">
        <v>665</v>
      </c>
      <c r="B16" s="19" t="n">
        <f aca="false">$B$13*$B$12</f>
        <v>200000</v>
      </c>
      <c r="C16" s="16" t="s">
        <v>140</v>
      </c>
      <c r="D16" s="20" t="n">
        <v>200000</v>
      </c>
      <c r="E16" s="21" t="str">
        <f aca="false">IF(ABS(B16-D16)&lt;=0.5,"OK","DIVERSO")</f>
        <v>OK</v>
      </c>
      <c r="F16" s="16" t="s">
        <v>659</v>
      </c>
    </row>
    <row r="17" customFormat="false" ht="15" hidden="false" customHeight="true" outlineLevel="0" collapsed="false">
      <c r="A17" s="14" t="s">
        <v>666</v>
      </c>
      <c r="B17" s="19" t="n">
        <f aca="false">$B$16-$B$11</f>
        <v>0</v>
      </c>
      <c r="C17" s="16" t="s">
        <v>140</v>
      </c>
      <c r="D17" s="20" t="n">
        <v>0</v>
      </c>
      <c r="E17" s="21" t="str">
        <f aca="false">IF(ABS(B17-D17)&lt;=0.5,"OK","DIVERSO")</f>
        <v>OK</v>
      </c>
      <c r="F17" s="16" t="s">
        <v>659</v>
      </c>
    </row>
    <row r="18" customFormat="false" ht="15" hidden="false" customHeight="true" outlineLevel="0" collapsed="false"/>
    <row r="19" customFormat="false" ht="15" hidden="false" customHeight="true" outlineLevel="0" collapsed="false">
      <c r="A19" s="13" t="s">
        <v>667</v>
      </c>
      <c r="B19" s="13"/>
      <c r="C19" s="13"/>
      <c r="D19" s="13"/>
      <c r="E19" s="13"/>
      <c r="F19" s="13"/>
    </row>
    <row r="20" customFormat="false" ht="15" hidden="false" customHeight="true" outlineLevel="0" collapsed="false">
      <c r="A20" s="22" t="s">
        <v>668</v>
      </c>
      <c r="B20" s="22"/>
      <c r="C20" s="22"/>
      <c r="D20" s="22"/>
      <c r="E20" s="22"/>
      <c r="F20" s="22"/>
    </row>
    <row r="21" customFormat="false" ht="15" hidden="false" customHeight="true" outlineLevel="0" collapsed="false">
      <c r="A21" s="6" t="s">
        <v>116</v>
      </c>
      <c r="B21" s="6" t="s">
        <v>117</v>
      </c>
      <c r="C21" s="6" t="s">
        <v>118</v>
      </c>
      <c r="D21" s="6" t="s">
        <v>119</v>
      </c>
      <c r="E21" s="6" t="s">
        <v>120</v>
      </c>
      <c r="F21" s="6" t="s">
        <v>121</v>
      </c>
    </row>
    <row r="22" customFormat="false" ht="15" hidden="false" customHeight="true" outlineLevel="0" collapsed="false">
      <c r="A22" s="14" t="s">
        <v>669</v>
      </c>
      <c r="B22" s="15" t="n">
        <v>35</v>
      </c>
      <c r="C22" s="16" t="s">
        <v>126</v>
      </c>
      <c r="D22" s="17"/>
      <c r="E22" s="17"/>
      <c r="F22" s="16" t="s">
        <v>659</v>
      </c>
    </row>
    <row r="23" customFormat="false" ht="15" hidden="false" customHeight="true" outlineLevel="0" collapsed="false">
      <c r="A23" s="14" t="s">
        <v>670</v>
      </c>
      <c r="B23" s="32" t="n">
        <f aca="false">$B$11/$B$22</f>
        <v>5714.28571428572</v>
      </c>
      <c r="C23" s="16" t="s">
        <v>123</v>
      </c>
      <c r="D23" s="33" t="n">
        <v>5714.3</v>
      </c>
      <c r="E23" s="21" t="str">
        <f aca="false">IF(ABS(B23-D23)&lt;=0.05,"OK","DIVERSO")</f>
        <v>OK</v>
      </c>
      <c r="F23" s="16" t="s">
        <v>659</v>
      </c>
    </row>
    <row r="24" customFormat="false" ht="15" hidden="false" customHeight="true" outlineLevel="0" collapsed="false">
      <c r="A24" s="14" t="s">
        <v>671</v>
      </c>
      <c r="B24" s="19" t="n">
        <f aca="false">ROUNDDOWN($B$23,0)</f>
        <v>5714</v>
      </c>
      <c r="C24" s="16" t="s">
        <v>123</v>
      </c>
      <c r="D24" s="20" t="n">
        <v>5714</v>
      </c>
      <c r="E24" s="21" t="str">
        <f aca="false">IF(ABS(B24-D24)&lt;=0.5,"OK","DIVERSO")</f>
        <v>OK</v>
      </c>
      <c r="F24" s="16" t="s">
        <v>659</v>
      </c>
    </row>
    <row r="25" customFormat="false" ht="15" hidden="false" customHeight="true" outlineLevel="0" collapsed="false">
      <c r="A25" s="14" t="s">
        <v>672</v>
      </c>
      <c r="B25" s="19" t="n">
        <f aca="false">$B$24*$B$22</f>
        <v>199990</v>
      </c>
      <c r="C25" s="16" t="s">
        <v>140</v>
      </c>
      <c r="D25" s="20" t="n">
        <v>199990</v>
      </c>
      <c r="E25" s="21" t="str">
        <f aca="false">IF(ABS(B25-D25)&lt;=0.5,"OK","DIVERSO")</f>
        <v>OK</v>
      </c>
      <c r="F25" s="16" t="s">
        <v>659</v>
      </c>
    </row>
    <row r="26" customFormat="false" ht="15" hidden="false" customHeight="true" outlineLevel="0" collapsed="false">
      <c r="A26" s="14" t="s">
        <v>673</v>
      </c>
      <c r="B26" s="19" t="n">
        <f aca="false">$B$25-$B$11</f>
        <v>-10</v>
      </c>
      <c r="C26" s="16" t="s">
        <v>140</v>
      </c>
      <c r="D26" s="20" t="n">
        <v>-10</v>
      </c>
      <c r="E26" s="21" t="str">
        <f aca="false">IF(ABS(B26-D26)&lt;=0.5,"OK","DIVERSO")</f>
        <v>OK</v>
      </c>
      <c r="F26" s="16" t="s">
        <v>659</v>
      </c>
    </row>
    <row r="27" customFormat="false" ht="15" hidden="false" customHeight="true" outlineLevel="0" collapsed="false">
      <c r="A27" s="14" t="s">
        <v>674</v>
      </c>
      <c r="B27" s="19" t="n">
        <f aca="false">ROUNDUP($B$23,0)</f>
        <v>5715</v>
      </c>
      <c r="C27" s="16" t="s">
        <v>123</v>
      </c>
      <c r="D27" s="20" t="n">
        <v>5715</v>
      </c>
      <c r="E27" s="21" t="str">
        <f aca="false">IF(ABS(B27-D27)&lt;=0.5,"OK","DIVERSO")</f>
        <v>OK</v>
      </c>
      <c r="F27" s="16" t="s">
        <v>659</v>
      </c>
    </row>
    <row r="28" customFormat="false" ht="15" hidden="false" customHeight="true" outlineLevel="0" collapsed="false">
      <c r="A28" s="14" t="s">
        <v>675</v>
      </c>
      <c r="B28" s="19" t="n">
        <f aca="false">$B$27*$B$22-$B$11</f>
        <v>25</v>
      </c>
      <c r="C28" s="16" t="s">
        <v>140</v>
      </c>
      <c r="D28" s="20" t="n">
        <v>25</v>
      </c>
      <c r="E28" s="21" t="str">
        <f aca="false">IF(ABS(B28-D28)&lt;=0.5,"OK","DIVERSO")</f>
        <v>OK</v>
      </c>
      <c r="F28" s="16" t="s">
        <v>659</v>
      </c>
    </row>
    <row r="29" customFormat="false" ht="15" hidden="false" customHeight="true" outlineLevel="0" collapsed="false"/>
    <row r="30" customFormat="false" ht="15" hidden="false" customHeight="true" outlineLevel="0" collapsed="false">
      <c r="A30" s="13" t="s">
        <v>676</v>
      </c>
      <c r="B30" s="13"/>
      <c r="C30" s="13"/>
      <c r="D30" s="13"/>
      <c r="E30" s="13"/>
      <c r="F30" s="13"/>
    </row>
    <row r="31" customFormat="false" ht="15" hidden="false" customHeight="true" outlineLevel="0" collapsed="false">
      <c r="A31" s="22" t="s">
        <v>677</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678</v>
      </c>
      <c r="B33" s="26" t="n">
        <f aca="false">$B$12/$B$9</f>
        <v>0.4</v>
      </c>
      <c r="C33" s="16" t="s">
        <v>319</v>
      </c>
      <c r="D33" s="27" t="n">
        <v>0.4</v>
      </c>
      <c r="E33" s="21" t="str">
        <f aca="false">IF(ABS(B33-D33)&lt;=0.0005,"OK","DIVERSO")</f>
        <v>OK</v>
      </c>
      <c r="F33" s="16" t="s">
        <v>659</v>
      </c>
    </row>
    <row r="34" customFormat="false" ht="15" hidden="false" customHeight="true" outlineLevel="0" collapsed="false">
      <c r="A34" s="14" t="s">
        <v>679</v>
      </c>
      <c r="B34" s="19" t="n">
        <f aca="false">$B$11/$B$33</f>
        <v>500000</v>
      </c>
      <c r="C34" s="16" t="s">
        <v>140</v>
      </c>
      <c r="D34" s="20" t="n">
        <v>500000</v>
      </c>
      <c r="E34" s="21" t="str">
        <f aca="false">IF(ABS(B34-D34)&lt;=0.5,"OK","DIVERSO")</f>
        <v>OK</v>
      </c>
      <c r="F34" s="16" t="s">
        <v>659</v>
      </c>
    </row>
    <row r="35" customFormat="false" ht="15" hidden="false" customHeight="true" outlineLevel="0" collapsed="false"/>
    <row r="36" customFormat="false" ht="15" hidden="false" customHeight="true" outlineLevel="0" collapsed="false">
      <c r="A36" s="13" t="s">
        <v>680</v>
      </c>
      <c r="B36" s="13"/>
      <c r="C36" s="13"/>
      <c r="D36" s="13"/>
      <c r="E36" s="13"/>
      <c r="F36" s="13"/>
    </row>
    <row r="37" customFormat="false" ht="15" hidden="false" customHeight="true" outlineLevel="0" collapsed="false">
      <c r="A37" s="22" t="s">
        <v>681</v>
      </c>
      <c r="B37" s="22"/>
      <c r="C37" s="22"/>
      <c r="D37" s="22"/>
      <c r="E37" s="22"/>
      <c r="F37" s="22"/>
    </row>
    <row r="38" customFormat="false" ht="15" hidden="false" customHeight="true" outlineLevel="0" collapsed="false">
      <c r="A38" s="6" t="s">
        <v>116</v>
      </c>
      <c r="B38" s="6" t="s">
        <v>117</v>
      </c>
      <c r="C38" s="6" t="s">
        <v>118</v>
      </c>
      <c r="D38" s="6" t="s">
        <v>119</v>
      </c>
      <c r="E38" s="6" t="s">
        <v>120</v>
      </c>
      <c r="F38" s="6" t="s">
        <v>121</v>
      </c>
    </row>
    <row r="39" customFormat="false" ht="15" hidden="false" customHeight="true" outlineLevel="0" collapsed="false">
      <c r="A39" s="14" t="s">
        <v>682</v>
      </c>
      <c r="B39" s="15" t="n">
        <v>80000</v>
      </c>
      <c r="C39" s="16" t="s">
        <v>140</v>
      </c>
      <c r="D39" s="17"/>
      <c r="E39" s="17"/>
      <c r="F39" s="16" t="s">
        <v>659</v>
      </c>
    </row>
    <row r="40" customFormat="false" ht="15" hidden="false" customHeight="true" outlineLevel="0" collapsed="false">
      <c r="A40" s="14" t="s">
        <v>683</v>
      </c>
      <c r="B40" s="19" t="n">
        <f aca="false">ROUNDUP(($B$11+$B$39)/$B$12,0)</f>
        <v>7000</v>
      </c>
      <c r="C40" s="16" t="s">
        <v>123</v>
      </c>
      <c r="D40" s="20" t="n">
        <v>7000</v>
      </c>
      <c r="E40" s="21" t="str">
        <f aca="false">IF(ABS(B40-D40)&lt;=0.5,"OK","DIVERSO")</f>
        <v>OK</v>
      </c>
      <c r="F40" s="16" t="s">
        <v>659</v>
      </c>
    </row>
    <row r="41" customFormat="false" ht="15" hidden="false" customHeight="true" outlineLevel="0" collapsed="false">
      <c r="A41" s="14" t="s">
        <v>684</v>
      </c>
      <c r="B41" s="15" t="n">
        <v>56000</v>
      </c>
      <c r="C41" s="16" t="s">
        <v>140</v>
      </c>
      <c r="D41" s="17"/>
      <c r="E41" s="17"/>
      <c r="F41" s="16" t="s">
        <v>659</v>
      </c>
    </row>
    <row r="42" customFormat="false" ht="15" hidden="false" customHeight="true" outlineLevel="0" collapsed="false">
      <c r="A42" s="14" t="s">
        <v>685</v>
      </c>
      <c r="B42" s="25" t="n">
        <v>0.3</v>
      </c>
      <c r="C42" s="16" t="s">
        <v>319</v>
      </c>
      <c r="D42" s="17"/>
      <c r="E42" s="17"/>
      <c r="F42" s="16" t="s">
        <v>659</v>
      </c>
    </row>
    <row r="43" customFormat="false" ht="15" hidden="false" customHeight="true" outlineLevel="0" collapsed="false">
      <c r="A43" s="14" t="s">
        <v>169</v>
      </c>
      <c r="B43" s="15" t="n">
        <v>0</v>
      </c>
      <c r="C43" s="16" t="s">
        <v>140</v>
      </c>
      <c r="D43" s="17"/>
      <c r="E43" s="17"/>
      <c r="F43" s="16" t="s">
        <v>659</v>
      </c>
    </row>
    <row r="44" customFormat="false" ht="15" hidden="false" customHeight="true" outlineLevel="0" collapsed="false">
      <c r="A44" s="14" t="s">
        <v>686</v>
      </c>
      <c r="B44" s="19" t="n">
        <f aca="false">$B$41/(1-$B$42)+$B$43</f>
        <v>80000</v>
      </c>
      <c r="C44" s="16" t="s">
        <v>140</v>
      </c>
      <c r="D44" s="20" t="n">
        <v>80000</v>
      </c>
      <c r="E44" s="21" t="str">
        <f aca="false">IF(ABS(B44-D44)&lt;=0.5,"OK","DIVERSO")</f>
        <v>OK</v>
      </c>
      <c r="F44" s="16" t="s">
        <v>659</v>
      </c>
    </row>
    <row r="45" customFormat="false" ht="15" hidden="false" customHeight="true" outlineLevel="0" collapsed="false">
      <c r="A45" s="14" t="s">
        <v>687</v>
      </c>
      <c r="B45" s="19" t="n">
        <f aca="false">ROUNDUP(($B$11+$B$44)/$B$12,0)</f>
        <v>7000</v>
      </c>
      <c r="C45" s="16" t="s">
        <v>123</v>
      </c>
      <c r="D45" s="20" t="n">
        <v>7000</v>
      </c>
      <c r="E45" s="21" t="str">
        <f aca="false">IF(ABS(B45-D45)&lt;=0.5,"OK","DIVERSO")</f>
        <v>OK</v>
      </c>
      <c r="F45" s="16" t="s">
        <v>659</v>
      </c>
    </row>
    <row r="46" customFormat="false" ht="15" hidden="false" customHeight="true" outlineLevel="0" collapsed="false"/>
    <row r="47" customFormat="false" ht="15" hidden="false" customHeight="true" outlineLevel="0" collapsed="false">
      <c r="A47" s="13" t="s">
        <v>688</v>
      </c>
      <c r="B47" s="13"/>
      <c r="C47" s="13"/>
      <c r="D47" s="13"/>
      <c r="E47" s="13"/>
      <c r="F47" s="13"/>
    </row>
    <row r="48" customFormat="false" ht="15" hidden="false" customHeight="true" outlineLevel="0" collapsed="false">
      <c r="A48" s="22" t="s">
        <v>689</v>
      </c>
      <c r="B48" s="22"/>
      <c r="C48" s="22"/>
      <c r="D48" s="22"/>
      <c r="E48" s="22"/>
      <c r="F48" s="22"/>
    </row>
    <row r="49" customFormat="false" ht="15" hidden="false" customHeight="true" outlineLevel="0" collapsed="false">
      <c r="A49" s="6" t="s">
        <v>116</v>
      </c>
      <c r="B49" s="6" t="s">
        <v>117</v>
      </c>
      <c r="C49" s="6" t="s">
        <v>118</v>
      </c>
      <c r="D49" s="6" t="s">
        <v>119</v>
      </c>
      <c r="E49" s="6" t="s">
        <v>120</v>
      </c>
      <c r="F49" s="6" t="s">
        <v>121</v>
      </c>
    </row>
    <row r="50" customFormat="false" ht="15" hidden="false" customHeight="true" outlineLevel="0" collapsed="false">
      <c r="A50" s="14" t="s">
        <v>690</v>
      </c>
      <c r="B50" s="15" t="n">
        <v>650000</v>
      </c>
      <c r="C50" s="16" t="s">
        <v>140</v>
      </c>
      <c r="D50" s="17"/>
      <c r="E50" s="17"/>
      <c r="F50" s="16" t="s">
        <v>659</v>
      </c>
    </row>
    <row r="51" customFormat="false" ht="15" hidden="false" customHeight="true" outlineLevel="0" collapsed="false">
      <c r="A51" s="14" t="s">
        <v>688</v>
      </c>
      <c r="B51" s="19" t="n">
        <f aca="false">$B$50-$B$34</f>
        <v>150000</v>
      </c>
      <c r="C51" s="16" t="s">
        <v>140</v>
      </c>
      <c r="D51" s="20" t="n">
        <v>150000</v>
      </c>
      <c r="E51" s="21" t="str">
        <f aca="false">IF(ABS(B51-D51)&lt;=0.5,"OK","DIVERSO")</f>
        <v>OK</v>
      </c>
      <c r="F51" s="16" t="s">
        <v>659</v>
      </c>
    </row>
    <row r="52" customFormat="false" ht="15" hidden="false" customHeight="true" outlineLevel="0" collapsed="false">
      <c r="A52" s="14" t="s">
        <v>691</v>
      </c>
      <c r="B52" s="26" t="n">
        <f aca="false">$B$51/$B$50</f>
        <v>0.230769230769231</v>
      </c>
      <c r="C52" s="16" t="s">
        <v>319</v>
      </c>
      <c r="D52" s="27" t="n">
        <v>0.231</v>
      </c>
      <c r="E52" s="21" t="str">
        <f aca="false">IF(ABS(B52-D52)&lt;=0.0005,"OK","DIVERSO")</f>
        <v>OK</v>
      </c>
      <c r="F52" s="16" t="s">
        <v>659</v>
      </c>
    </row>
    <row r="53" customFormat="false" ht="15" hidden="false" customHeight="true" outlineLevel="0" collapsed="false"/>
    <row r="54" customFormat="false" ht="15" hidden="false" customHeight="true" outlineLevel="0" collapsed="false">
      <c r="A54" s="13" t="s">
        <v>692</v>
      </c>
      <c r="B54" s="13"/>
      <c r="C54" s="13"/>
      <c r="D54" s="13"/>
      <c r="E54" s="13"/>
      <c r="F54" s="13"/>
    </row>
    <row r="55" customFormat="false" ht="15" hidden="false" customHeight="true" outlineLevel="0" collapsed="false">
      <c r="A55" s="22" t="s">
        <v>693</v>
      </c>
      <c r="B55" s="22"/>
      <c r="C55" s="22"/>
      <c r="D55" s="22"/>
      <c r="E55" s="22"/>
      <c r="F55" s="22"/>
    </row>
    <row r="56" customFormat="false" ht="15" hidden="false" customHeight="true" outlineLevel="0" collapsed="false">
      <c r="A56" s="6" t="s">
        <v>116</v>
      </c>
      <c r="B56" s="6" t="s">
        <v>117</v>
      </c>
      <c r="C56" s="6" t="s">
        <v>118</v>
      </c>
      <c r="D56" s="6" t="s">
        <v>119</v>
      </c>
      <c r="E56" s="6" t="s">
        <v>120</v>
      </c>
      <c r="F56" s="6" t="s">
        <v>121</v>
      </c>
    </row>
    <row r="57" customFormat="false" ht="15" hidden="false" customHeight="true" outlineLevel="0" collapsed="false">
      <c r="A57" s="14" t="s">
        <v>694</v>
      </c>
      <c r="B57" s="15" t="n">
        <v>240000</v>
      </c>
      <c r="C57" s="16" t="s">
        <v>140</v>
      </c>
      <c r="D57" s="17"/>
      <c r="E57" s="17"/>
      <c r="F57" s="16" t="s">
        <v>659</v>
      </c>
    </row>
    <row r="58" customFormat="false" ht="15" hidden="false" customHeight="true" outlineLevel="0" collapsed="false">
      <c r="A58" s="14" t="s">
        <v>695</v>
      </c>
      <c r="B58" s="15" t="n">
        <v>40000</v>
      </c>
      <c r="C58" s="16" t="s">
        <v>140</v>
      </c>
      <c r="D58" s="17"/>
      <c r="E58" s="17"/>
      <c r="F58" s="16" t="s">
        <v>659</v>
      </c>
    </row>
    <row r="59" customFormat="false" ht="15" hidden="false" customHeight="true" outlineLevel="0" collapsed="false">
      <c r="A59" s="14" t="s">
        <v>696</v>
      </c>
      <c r="B59" s="19" t="n">
        <f aca="false">$B$57/$B$58</f>
        <v>6</v>
      </c>
      <c r="C59" s="16" t="s">
        <v>518</v>
      </c>
      <c r="D59" s="20" t="n">
        <v>6</v>
      </c>
      <c r="E59" s="21" t="str">
        <f aca="false">IF(ABS(B59-D59)&lt;=0.5,"OK","DIVERSO")</f>
        <v>OK</v>
      </c>
      <c r="F59" s="16" t="s">
        <v>659</v>
      </c>
    </row>
    <row r="60" customFormat="false" ht="15" hidden="false" customHeight="true" outlineLevel="0" collapsed="false">
      <c r="A60" s="14" t="s">
        <v>697</v>
      </c>
      <c r="B60" s="19" t="n">
        <f aca="false">$B$50/$B$9</f>
        <v>6500</v>
      </c>
      <c r="C60" s="16" t="s">
        <v>123</v>
      </c>
      <c r="D60" s="20" t="n">
        <v>6500</v>
      </c>
      <c r="E60" s="21" t="str">
        <f aca="false">IF(ABS(B60-D60)&lt;=0.5,"OK","DIVERSO")</f>
        <v>OK</v>
      </c>
      <c r="F60" s="16" t="s">
        <v>659</v>
      </c>
    </row>
    <row r="61" customFormat="false" ht="15" hidden="false" customHeight="true" outlineLevel="0" collapsed="false">
      <c r="A61" s="14" t="s">
        <v>698</v>
      </c>
      <c r="B61" s="19" t="n">
        <f aca="false">$B$60*$B$12</f>
        <v>260000</v>
      </c>
      <c r="C61" s="16" t="s">
        <v>140</v>
      </c>
      <c r="D61" s="20" t="n">
        <v>260000</v>
      </c>
      <c r="E61" s="21" t="str">
        <f aca="false">IF(ABS(B61-D61)&lt;=0.5,"OK","DIVERSO")</f>
        <v>OK</v>
      </c>
      <c r="F61" s="16" t="s">
        <v>659</v>
      </c>
    </row>
    <row r="62" customFormat="false" ht="15" hidden="false" customHeight="true" outlineLevel="0" collapsed="false">
      <c r="A62" s="14" t="s">
        <v>699</v>
      </c>
      <c r="B62" s="19" t="n">
        <f aca="false">$B$61-$B$11</f>
        <v>60000</v>
      </c>
      <c r="C62" s="16" t="s">
        <v>140</v>
      </c>
      <c r="D62" s="20" t="n">
        <v>60000</v>
      </c>
      <c r="E62" s="21" t="str">
        <f aca="false">IF(ABS(B62-D62)&lt;=0.5,"OK","DIVERSO")</f>
        <v>OK</v>
      </c>
      <c r="F62" s="16" t="s">
        <v>659</v>
      </c>
    </row>
    <row r="63" customFormat="false" ht="15" hidden="false" customHeight="true" outlineLevel="0" collapsed="false">
      <c r="A63" s="14" t="s">
        <v>700</v>
      </c>
      <c r="B63" s="23" t="n">
        <f aca="false">$B$61/$B$62</f>
        <v>4.33333333333333</v>
      </c>
      <c r="C63" s="16" t="s">
        <v>518</v>
      </c>
      <c r="D63" s="24" t="n">
        <v>4.33</v>
      </c>
      <c r="E63" s="21" t="str">
        <f aca="false">IF(ABS(B63-D63)&lt;=0.005,"OK","DIVERSO")</f>
        <v>OK</v>
      </c>
      <c r="F63" s="16" t="s">
        <v>659</v>
      </c>
    </row>
    <row r="64" customFormat="false" ht="15" hidden="false" customHeight="true" outlineLevel="0" collapsed="false">
      <c r="A64" s="14" t="s">
        <v>701</v>
      </c>
      <c r="B64" s="23" t="n">
        <f aca="false">1/$B$52</f>
        <v>4.33333333333333</v>
      </c>
      <c r="C64" s="16" t="s">
        <v>518</v>
      </c>
      <c r="D64" s="24" t="n">
        <v>4.33</v>
      </c>
      <c r="E64" s="21" t="str">
        <f aca="false">IF(ABS(B64-D64)&lt;=0.005,"OK","DIVERSO")</f>
        <v>OK</v>
      </c>
      <c r="F64" s="16" t="s">
        <v>659</v>
      </c>
    </row>
    <row r="65" customFormat="false" ht="15" hidden="false" customHeight="true" outlineLevel="0" collapsed="false"/>
    <row r="66" customFormat="false" ht="15" hidden="false" customHeight="true" outlineLevel="0" collapsed="false">
      <c r="A66" s="13" t="s">
        <v>702</v>
      </c>
      <c r="B66" s="13"/>
      <c r="C66" s="13"/>
      <c r="D66" s="13"/>
      <c r="E66" s="13"/>
      <c r="F66" s="13"/>
    </row>
    <row r="67" customFormat="false" ht="15" hidden="false" customHeight="true" outlineLevel="0" collapsed="false">
      <c r="A67" s="22" t="s">
        <v>703</v>
      </c>
      <c r="B67" s="22"/>
      <c r="C67" s="22"/>
      <c r="D67" s="22"/>
      <c r="E67" s="22"/>
      <c r="F67" s="22"/>
    </row>
    <row r="68" customFormat="false" ht="15" hidden="false" customHeight="true" outlineLevel="0" collapsed="false">
      <c r="A68" s="6" t="s">
        <v>116</v>
      </c>
      <c r="B68" s="6" t="s">
        <v>117</v>
      </c>
      <c r="C68" s="6" t="s">
        <v>118</v>
      </c>
      <c r="D68" s="6" t="s">
        <v>119</v>
      </c>
      <c r="E68" s="6" t="s">
        <v>120</v>
      </c>
      <c r="F68" s="6" t="s">
        <v>121</v>
      </c>
    </row>
    <row r="69" customFormat="false" ht="15" hidden="false" customHeight="true" outlineLevel="0" collapsed="false">
      <c r="A69" s="14" t="s">
        <v>704</v>
      </c>
      <c r="B69" s="15" t="n">
        <v>40</v>
      </c>
      <c r="C69" s="16" t="s">
        <v>126</v>
      </c>
      <c r="D69" s="17"/>
      <c r="E69" s="17"/>
      <c r="F69" s="16" t="s">
        <v>659</v>
      </c>
    </row>
    <row r="70" customFormat="false" ht="15" hidden="false" customHeight="true" outlineLevel="0" collapsed="false">
      <c r="A70" s="14" t="s">
        <v>705</v>
      </c>
      <c r="B70" s="15" t="n">
        <v>20</v>
      </c>
      <c r="C70" s="16" t="s">
        <v>126</v>
      </c>
      <c r="D70" s="17"/>
      <c r="E70" s="17"/>
      <c r="F70" s="16" t="s">
        <v>659</v>
      </c>
    </row>
    <row r="71" customFormat="false" ht="15" hidden="false" customHeight="true" outlineLevel="0" collapsed="false">
      <c r="A71" s="14" t="s">
        <v>706</v>
      </c>
      <c r="B71" s="15" t="n">
        <v>2</v>
      </c>
      <c r="C71" s="16" t="s">
        <v>707</v>
      </c>
      <c r="D71" s="17"/>
      <c r="E71" s="17"/>
      <c r="F71" s="16" t="s">
        <v>659</v>
      </c>
    </row>
    <row r="72" customFormat="false" ht="15" hidden="false" customHeight="true" outlineLevel="0" collapsed="false">
      <c r="A72" s="14" t="s">
        <v>708</v>
      </c>
      <c r="B72" s="15" t="n">
        <v>1</v>
      </c>
      <c r="C72" s="16" t="s">
        <v>707</v>
      </c>
      <c r="D72" s="17"/>
      <c r="E72" s="17"/>
      <c r="F72" s="16" t="s">
        <v>659</v>
      </c>
    </row>
    <row r="73" customFormat="false" ht="15" hidden="false" customHeight="true" outlineLevel="0" collapsed="false">
      <c r="A73" s="14" t="s">
        <v>709</v>
      </c>
      <c r="B73" s="19" t="n">
        <f aca="false">$B$69*$B$71</f>
        <v>80</v>
      </c>
      <c r="C73" s="16" t="s">
        <v>710</v>
      </c>
      <c r="D73" s="20" t="n">
        <v>80</v>
      </c>
      <c r="E73" s="21" t="str">
        <f aca="false">IF(ABS(B73-D73)&lt;=0.5,"OK","DIVERSO")</f>
        <v>OK</v>
      </c>
      <c r="F73" s="16" t="s">
        <v>659</v>
      </c>
    </row>
    <row r="74" customFormat="false" ht="15" hidden="false" customHeight="true" outlineLevel="0" collapsed="false">
      <c r="A74" s="14" t="s">
        <v>711</v>
      </c>
      <c r="B74" s="19" t="n">
        <f aca="false">$B$70*$B$72</f>
        <v>20</v>
      </c>
      <c r="C74" s="16" t="s">
        <v>710</v>
      </c>
      <c r="D74" s="20" t="n">
        <v>20</v>
      </c>
      <c r="E74" s="21" t="str">
        <f aca="false">IF(ABS(B74-D74)&lt;=0.5,"OK","DIVERSO")</f>
        <v>OK</v>
      </c>
      <c r="F74" s="16" t="s">
        <v>659</v>
      </c>
    </row>
    <row r="75" customFormat="false" ht="15" hidden="false" customHeight="true" outlineLevel="0" collapsed="false">
      <c r="A75" s="14" t="s">
        <v>712</v>
      </c>
      <c r="B75" s="19" t="n">
        <f aca="false">$B$73+$B$74</f>
        <v>100</v>
      </c>
      <c r="C75" s="16" t="s">
        <v>710</v>
      </c>
      <c r="D75" s="20" t="n">
        <v>100</v>
      </c>
      <c r="E75" s="21" t="str">
        <f aca="false">IF(ABS(B75-D75)&lt;=0.5,"OK","DIVERSO")</f>
        <v>OK</v>
      </c>
      <c r="F75" s="16" t="s">
        <v>659</v>
      </c>
    </row>
    <row r="76" customFormat="false" ht="15" hidden="false" customHeight="true" outlineLevel="0" collapsed="false">
      <c r="A76" s="14" t="s">
        <v>660</v>
      </c>
      <c r="B76" s="15" t="n">
        <v>300000</v>
      </c>
      <c r="C76" s="16" t="s">
        <v>140</v>
      </c>
      <c r="D76" s="17"/>
      <c r="E76" s="17"/>
      <c r="F76" s="16" t="s">
        <v>659</v>
      </c>
    </row>
    <row r="77" customFormat="false" ht="15" hidden="false" customHeight="true" outlineLevel="0" collapsed="false">
      <c r="A77" s="14" t="s">
        <v>713</v>
      </c>
      <c r="B77" s="19" t="n">
        <f aca="false">ROUNDUP($B$76/$B$75,0)</f>
        <v>3000</v>
      </c>
      <c r="C77" s="16" t="s">
        <v>714</v>
      </c>
      <c r="D77" s="20" t="n">
        <v>3000</v>
      </c>
      <c r="E77" s="21" t="str">
        <f aca="false">IF(ABS(B77-D77)&lt;=0.5,"OK","DIVERSO")</f>
        <v>OK</v>
      </c>
      <c r="F77" s="16" t="s">
        <v>659</v>
      </c>
    </row>
    <row r="78" customFormat="false" ht="15" hidden="false" customHeight="true" outlineLevel="0" collapsed="false">
      <c r="A78" s="14" t="s">
        <v>715</v>
      </c>
      <c r="B78" s="19" t="n">
        <f aca="false">$B$77*$B$71</f>
        <v>6000</v>
      </c>
      <c r="C78" s="16" t="s">
        <v>123</v>
      </c>
      <c r="D78" s="20" t="n">
        <v>6000</v>
      </c>
      <c r="E78" s="21" t="str">
        <f aca="false">IF(ABS(B78-D78)&lt;=0.5,"OK","DIVERSO")</f>
        <v>OK</v>
      </c>
      <c r="F78" s="16" t="s">
        <v>659</v>
      </c>
    </row>
    <row r="79" customFormat="false" ht="15" hidden="false" customHeight="true" outlineLevel="0" collapsed="false">
      <c r="A79" s="14" t="s">
        <v>716</v>
      </c>
      <c r="B79" s="19" t="n">
        <f aca="false">$B$77*$B$72</f>
        <v>3000</v>
      </c>
      <c r="C79" s="16" t="s">
        <v>123</v>
      </c>
      <c r="D79" s="20" t="n">
        <v>3000</v>
      </c>
      <c r="E79" s="21" t="str">
        <f aca="false">IF(ABS(B79-D79)&lt;=0.5,"OK","DIVERSO")</f>
        <v>OK</v>
      </c>
      <c r="F79" s="16" t="s">
        <v>659</v>
      </c>
    </row>
    <row r="80" customFormat="false" ht="15" hidden="false" customHeight="true" outlineLevel="0" collapsed="false"/>
    <row r="81" customFormat="false" ht="15" hidden="false" customHeight="true" outlineLevel="0" collapsed="false">
      <c r="A81" s="13" t="s">
        <v>717</v>
      </c>
      <c r="B81" s="13"/>
      <c r="C81" s="13"/>
      <c r="D81" s="13"/>
      <c r="E81" s="13"/>
      <c r="F81" s="13"/>
    </row>
    <row r="82" customFormat="false" ht="15" hidden="false" customHeight="true" outlineLevel="0" collapsed="false">
      <c r="A82" s="22" t="s">
        <v>718</v>
      </c>
      <c r="B82" s="22"/>
      <c r="C82" s="22"/>
      <c r="D82" s="22"/>
      <c r="E82" s="22"/>
      <c r="F82" s="22"/>
    </row>
    <row r="83" customFormat="false" ht="15" hidden="false" customHeight="true" outlineLevel="0" collapsed="false">
      <c r="A83" s="6" t="s">
        <v>116</v>
      </c>
      <c r="B83" s="6" t="s">
        <v>117</v>
      </c>
      <c r="C83" s="6" t="s">
        <v>118</v>
      </c>
      <c r="D83" s="6" t="s">
        <v>119</v>
      </c>
      <c r="E83" s="6" t="s">
        <v>120</v>
      </c>
      <c r="F83" s="6" t="s">
        <v>121</v>
      </c>
    </row>
    <row r="84" customFormat="false" ht="15" hidden="false" customHeight="true" outlineLevel="0" collapsed="false">
      <c r="A84" s="14" t="s">
        <v>719</v>
      </c>
      <c r="B84" s="15" t="n">
        <v>5</v>
      </c>
      <c r="C84" s="16" t="s">
        <v>126</v>
      </c>
      <c r="D84" s="17"/>
      <c r="E84" s="17"/>
      <c r="F84" s="16" t="s">
        <v>659</v>
      </c>
    </row>
    <row r="85" customFormat="false" ht="15" hidden="false" customHeight="true" outlineLevel="0" collapsed="false">
      <c r="A85" s="14" t="s">
        <v>720</v>
      </c>
      <c r="B85" s="15" t="n">
        <v>5</v>
      </c>
      <c r="C85" s="16" t="s">
        <v>126</v>
      </c>
      <c r="D85" s="17"/>
      <c r="E85" s="17"/>
      <c r="F85" s="16" t="s">
        <v>659</v>
      </c>
    </row>
    <row r="86" customFormat="false" ht="15" hidden="false" customHeight="true" outlineLevel="0" collapsed="false">
      <c r="A86" s="14" t="s">
        <v>721</v>
      </c>
      <c r="B86" s="15" t="n">
        <v>30000</v>
      </c>
      <c r="C86" s="16" t="s">
        <v>140</v>
      </c>
      <c r="D86" s="17"/>
      <c r="E86" s="17"/>
      <c r="F86" s="16" t="s">
        <v>659</v>
      </c>
    </row>
    <row r="87" customFormat="false" ht="15" hidden="false" customHeight="true" outlineLevel="0" collapsed="false">
      <c r="A87" s="14" t="s">
        <v>722</v>
      </c>
      <c r="B87" s="19" t="n">
        <f aca="false">$B$9-($B$10+$B$84)</f>
        <v>35</v>
      </c>
      <c r="C87" s="16" t="s">
        <v>126</v>
      </c>
      <c r="D87" s="20" t="n">
        <v>35</v>
      </c>
      <c r="E87" s="21" t="str">
        <f aca="false">IF(ABS(B87-D87)&lt;=0.5,"OK","DIVERSO")</f>
        <v>OK</v>
      </c>
      <c r="F87" s="16" t="s">
        <v>659</v>
      </c>
    </row>
    <row r="88" customFormat="false" ht="15" hidden="false" customHeight="true" outlineLevel="0" collapsed="false">
      <c r="A88" s="14" t="s">
        <v>723</v>
      </c>
      <c r="B88" s="19" t="n">
        <f aca="false">ROUNDUP($B$11/$B$87,0)</f>
        <v>5715</v>
      </c>
      <c r="C88" s="16" t="s">
        <v>123</v>
      </c>
      <c r="D88" s="20" t="n">
        <v>5715</v>
      </c>
      <c r="E88" s="21" t="str">
        <f aca="false">IF(ABS(B88-D88)&lt;=0.5,"OK","DIVERSO")</f>
        <v>OK</v>
      </c>
      <c r="F88" s="16" t="s">
        <v>659</v>
      </c>
    </row>
    <row r="89" customFormat="false" ht="15" hidden="false" customHeight="true" outlineLevel="0" collapsed="false">
      <c r="A89" s="14" t="s">
        <v>724</v>
      </c>
      <c r="B89" s="19" t="n">
        <f aca="false">($B$9+$B$85)-$B$10</f>
        <v>45</v>
      </c>
      <c r="C89" s="16" t="s">
        <v>126</v>
      </c>
      <c r="D89" s="20" t="n">
        <v>45</v>
      </c>
      <c r="E89" s="21" t="str">
        <f aca="false">IF(ABS(B89-D89)&lt;=0.5,"OK","DIVERSO")</f>
        <v>OK</v>
      </c>
      <c r="F89" s="16" t="s">
        <v>659</v>
      </c>
    </row>
    <row r="90" customFormat="false" ht="15" hidden="false" customHeight="true" outlineLevel="0" collapsed="false">
      <c r="A90" s="14" t="s">
        <v>725</v>
      </c>
      <c r="B90" s="32" t="n">
        <f aca="false">$B$11/$B$89</f>
        <v>4444.44444444444</v>
      </c>
      <c r="C90" s="16" t="s">
        <v>123</v>
      </c>
      <c r="D90" s="33" t="n">
        <v>4444.4</v>
      </c>
      <c r="E90" s="21" t="str">
        <f aca="false">IF(ABS(B90-D90)&lt;=0.05,"OK","DIVERSO")</f>
        <v>OK</v>
      </c>
      <c r="F90" s="16" t="s">
        <v>659</v>
      </c>
    </row>
    <row r="91" customFormat="false" ht="15" hidden="false" customHeight="true" outlineLevel="0" collapsed="false">
      <c r="A91" s="14" t="s">
        <v>726</v>
      </c>
      <c r="B91" s="19" t="n">
        <f aca="false">ROUNDUP($B$90,0)</f>
        <v>4445</v>
      </c>
      <c r="C91" s="16" t="s">
        <v>123</v>
      </c>
      <c r="D91" s="20" t="n">
        <v>4445</v>
      </c>
      <c r="E91" s="21" t="str">
        <f aca="false">IF(ABS(B91-D91)&lt;=0.5,"OK","DIVERSO")</f>
        <v>OK</v>
      </c>
      <c r="F91" s="16" t="s">
        <v>659</v>
      </c>
    </row>
    <row r="92" customFormat="false" ht="15" hidden="false" customHeight="true" outlineLevel="0" collapsed="false">
      <c r="A92" s="14" t="s">
        <v>727</v>
      </c>
      <c r="B92" s="19" t="n">
        <f aca="false">ROUNDUP(($B$11+$B$86)/$B$12,0)</f>
        <v>5750</v>
      </c>
      <c r="C92" s="16" t="s">
        <v>123</v>
      </c>
      <c r="D92" s="20" t="n">
        <v>5750</v>
      </c>
      <c r="E92" s="21" t="str">
        <f aca="false">IF(ABS(B92-D92)&lt;=0.5,"OK","DIVERSO")</f>
        <v>OK</v>
      </c>
      <c r="F92" s="16" t="s">
        <v>659</v>
      </c>
    </row>
    <row r="93" customFormat="false" ht="15" hidden="false" customHeight="true" outlineLevel="0" collapsed="false"/>
    <row r="94" customFormat="false" ht="15" hidden="false" customHeight="true" outlineLevel="0" collapsed="false">
      <c r="A94" s="13" t="s">
        <v>728</v>
      </c>
      <c r="B94" s="13"/>
      <c r="C94" s="13"/>
      <c r="D94" s="13"/>
      <c r="E94" s="13"/>
      <c r="F94" s="13"/>
    </row>
    <row r="95" customFormat="false" ht="15" hidden="false" customHeight="true" outlineLevel="0" collapsed="false">
      <c r="A95" s="22" t="s">
        <v>729</v>
      </c>
      <c r="B95" s="22"/>
      <c r="C95" s="22"/>
      <c r="D95" s="22"/>
      <c r="E95" s="22"/>
      <c r="F95" s="22"/>
    </row>
    <row r="96" customFormat="false" ht="15" hidden="false" customHeight="true" outlineLevel="0" collapsed="false">
      <c r="A96" s="6" t="s">
        <v>116</v>
      </c>
      <c r="B96" s="6" t="s">
        <v>117</v>
      </c>
      <c r="C96" s="6" t="s">
        <v>118</v>
      </c>
      <c r="D96" s="6" t="s">
        <v>119</v>
      </c>
      <c r="E96" s="6" t="s">
        <v>120</v>
      </c>
      <c r="F96" s="6" t="s">
        <v>121</v>
      </c>
    </row>
    <row r="97" customFormat="false" ht="15" hidden="false" customHeight="true" outlineLevel="0" collapsed="false">
      <c r="A97" s="14" t="s">
        <v>730</v>
      </c>
      <c r="B97" s="15" t="n">
        <v>180000</v>
      </c>
      <c r="C97" s="16" t="s">
        <v>140</v>
      </c>
      <c r="D97" s="17"/>
      <c r="E97" s="17"/>
      <c r="F97" s="16" t="s">
        <v>659</v>
      </c>
    </row>
    <row r="98" customFormat="false" ht="15" hidden="false" customHeight="true" outlineLevel="0" collapsed="false">
      <c r="A98" s="14" t="s">
        <v>731</v>
      </c>
      <c r="B98" s="15" t="n">
        <v>75</v>
      </c>
      <c r="C98" s="16" t="s">
        <v>126</v>
      </c>
      <c r="D98" s="17"/>
      <c r="E98" s="17"/>
      <c r="F98" s="16" t="s">
        <v>659</v>
      </c>
    </row>
    <row r="99" customFormat="false" ht="15" hidden="false" customHeight="true" outlineLevel="0" collapsed="false">
      <c r="A99" s="14" t="s">
        <v>268</v>
      </c>
      <c r="B99" s="15" t="n">
        <v>30</v>
      </c>
      <c r="C99" s="16" t="s">
        <v>126</v>
      </c>
      <c r="D99" s="17"/>
      <c r="E99" s="17"/>
      <c r="F99" s="16" t="s">
        <v>659</v>
      </c>
    </row>
    <row r="100" customFormat="false" ht="15" hidden="false" customHeight="true" outlineLevel="0" collapsed="false">
      <c r="A100" s="14" t="s">
        <v>732</v>
      </c>
      <c r="B100" s="15" t="n">
        <v>5000</v>
      </c>
      <c r="C100" s="16" t="s">
        <v>123</v>
      </c>
      <c r="D100" s="17"/>
      <c r="E100" s="17"/>
      <c r="F100" s="16" t="s">
        <v>659</v>
      </c>
    </row>
    <row r="101" customFormat="false" ht="15" hidden="false" customHeight="true" outlineLevel="0" collapsed="false">
      <c r="A101" s="14" t="s">
        <v>733</v>
      </c>
      <c r="B101" s="19" t="n">
        <f aca="false">$B$98-$B$99</f>
        <v>45</v>
      </c>
      <c r="C101" s="16" t="s">
        <v>126</v>
      </c>
      <c r="D101" s="20" t="n">
        <v>45</v>
      </c>
      <c r="E101" s="21" t="str">
        <f aca="false">IF(ABS(B101-D101)&lt;=0.5,"OK","DIVERSO")</f>
        <v>OK</v>
      </c>
      <c r="F101" s="16" t="s">
        <v>659</v>
      </c>
    </row>
    <row r="102" customFormat="false" ht="15" hidden="false" customHeight="true" outlineLevel="0" collapsed="false">
      <c r="A102" s="14" t="s">
        <v>734</v>
      </c>
      <c r="B102" s="19" t="n">
        <f aca="false">ROUNDUP($B$97/$B$101,0)</f>
        <v>4000</v>
      </c>
      <c r="C102" s="16" t="s">
        <v>123</v>
      </c>
      <c r="D102" s="20" t="n">
        <v>4000</v>
      </c>
      <c r="E102" s="21" t="str">
        <f aca="false">IF(ABS(B102-D102)&lt;=0.5,"OK","DIVERSO")</f>
        <v>OK</v>
      </c>
      <c r="F102" s="16" t="s">
        <v>659</v>
      </c>
    </row>
    <row r="103" customFormat="false" ht="15" hidden="false" customHeight="true" outlineLevel="0" collapsed="false">
      <c r="A103" s="14" t="s">
        <v>735</v>
      </c>
      <c r="B103" s="19" t="n">
        <f aca="false">$B$100*$B$101-$B$97</f>
        <v>45000</v>
      </c>
      <c r="C103" s="16" t="s">
        <v>140</v>
      </c>
      <c r="D103" s="20" t="n">
        <v>45000</v>
      </c>
      <c r="E103" s="21" t="str">
        <f aca="false">IF(ABS(B103-D103)&lt;=0.5,"OK","DIVERSO")</f>
        <v>OK</v>
      </c>
      <c r="F103" s="16" t="s">
        <v>659</v>
      </c>
    </row>
    <row r="104" customFormat="false" ht="15" hidden="false" customHeight="true" outlineLevel="0" collapsed="false">
      <c r="A104" s="14" t="s">
        <v>736</v>
      </c>
      <c r="B104" s="15" t="n">
        <v>70</v>
      </c>
      <c r="C104" s="16" t="s">
        <v>126</v>
      </c>
      <c r="D104" s="17"/>
      <c r="E104" s="17"/>
      <c r="F104" s="16" t="s">
        <v>659</v>
      </c>
    </row>
    <row r="105" customFormat="false" ht="15" hidden="false" customHeight="true" outlineLevel="0" collapsed="false">
      <c r="A105" s="14" t="s">
        <v>737</v>
      </c>
      <c r="B105" s="19" t="n">
        <f aca="false">$B$104-$B$99</f>
        <v>40</v>
      </c>
      <c r="C105" s="16" t="s">
        <v>126</v>
      </c>
      <c r="D105" s="20" t="n">
        <v>40</v>
      </c>
      <c r="E105" s="21" t="str">
        <f aca="false">IF(ABS(B105-D105)&lt;=0.5,"OK","DIVERSO")</f>
        <v>OK</v>
      </c>
      <c r="F105" s="16" t="s">
        <v>659</v>
      </c>
    </row>
    <row r="106" customFormat="false" ht="15" hidden="false" customHeight="true" outlineLevel="0" collapsed="false">
      <c r="A106" s="14" t="s">
        <v>738</v>
      </c>
      <c r="B106" s="19" t="n">
        <f aca="false">ROUNDUP($B$97/$B$105,0)</f>
        <v>4500</v>
      </c>
      <c r="C106" s="16" t="s">
        <v>123</v>
      </c>
      <c r="D106" s="20" t="n">
        <v>4500</v>
      </c>
      <c r="E106" s="21" t="str">
        <f aca="false">IF(ABS(B106-D106)&lt;=0.5,"OK","DIVERSO")</f>
        <v>OK</v>
      </c>
      <c r="F106" s="16" t="s">
        <v>659</v>
      </c>
    </row>
    <row r="107" customFormat="false" ht="15" hidden="false" customHeight="true" outlineLevel="0" collapsed="false">
      <c r="A107" s="14" t="s">
        <v>739</v>
      </c>
      <c r="B107" s="19" t="n">
        <f aca="false">$B$100*$B$105-$B$97</f>
        <v>20000</v>
      </c>
      <c r="C107" s="16" t="s">
        <v>140</v>
      </c>
      <c r="D107" s="20" t="n">
        <v>20000</v>
      </c>
      <c r="E107" s="21" t="str">
        <f aca="false">IF(ABS(B107-D107)&lt;=0.5,"OK","DIVERSO")</f>
        <v>OK</v>
      </c>
      <c r="F107" s="16" t="s">
        <v>659</v>
      </c>
    </row>
    <row r="108" customFormat="false" ht="15" hidden="false" customHeight="true" outlineLevel="0" collapsed="false"/>
    <row r="109" customFormat="false" ht="15" hidden="false" customHeight="true" outlineLevel="0" collapsed="false">
      <c r="A109" s="13" t="s">
        <v>740</v>
      </c>
      <c r="B109" s="13"/>
      <c r="C109" s="13"/>
      <c r="D109" s="13"/>
      <c r="E109" s="13"/>
      <c r="F109" s="13"/>
    </row>
    <row r="110" customFormat="false" ht="15" hidden="false" customHeight="true" outlineLevel="0" collapsed="false">
      <c r="A110" s="22" t="s">
        <v>741</v>
      </c>
      <c r="B110" s="22"/>
      <c r="C110" s="22"/>
      <c r="D110" s="22"/>
      <c r="E110" s="22"/>
      <c r="F110" s="22"/>
    </row>
    <row r="111" customFormat="false" ht="15" hidden="false" customHeight="true" outlineLevel="0" collapsed="false">
      <c r="A111" s="6" t="s">
        <v>116</v>
      </c>
      <c r="B111" s="6" t="s">
        <v>117</v>
      </c>
      <c r="C111" s="6" t="s">
        <v>118</v>
      </c>
      <c r="D111" s="6" t="s">
        <v>119</v>
      </c>
      <c r="E111" s="6" t="s">
        <v>120</v>
      </c>
      <c r="F111" s="6" t="s">
        <v>121</v>
      </c>
    </row>
    <row r="112" customFormat="false" ht="15" hidden="false" customHeight="true" outlineLevel="0" collapsed="false">
      <c r="A112" s="14" t="s">
        <v>742</v>
      </c>
      <c r="B112" s="34" t="n">
        <f aca="false">Impresa_guida!$B$36/Impresa_guida!$B$34</f>
        <v>0.313644418192558</v>
      </c>
      <c r="C112" s="16" t="s">
        <v>319</v>
      </c>
      <c r="D112" s="35" t="n">
        <v>0.31364</v>
      </c>
      <c r="E112" s="21" t="str">
        <f aca="false">IF(ABS(B112-D112)&lt;=0.000005,"OK","DIVERSO")</f>
        <v>OK</v>
      </c>
      <c r="F112" s="16" t="s">
        <v>659</v>
      </c>
    </row>
    <row r="113" customFormat="false" ht="15" hidden="false" customHeight="true" outlineLevel="0" collapsed="false">
      <c r="A113" s="14" t="s">
        <v>679</v>
      </c>
      <c r="B113" s="19" t="n">
        <f aca="false">Impresa_guida!$B$40/$B$112</f>
        <v>2346606.40301318</v>
      </c>
      <c r="C113" s="16" t="s">
        <v>140</v>
      </c>
      <c r="D113" s="20" t="n">
        <v>2346606</v>
      </c>
      <c r="E113" s="21" t="str">
        <f aca="false">IF(ABS(B113-D113)&lt;=0.5,"OK","DIVERSO")</f>
        <v>OK</v>
      </c>
      <c r="F113" s="16" t="s">
        <v>659</v>
      </c>
    </row>
    <row r="114" customFormat="false" ht="15" hidden="false" customHeight="true" outlineLevel="0" collapsed="false">
      <c r="A114" s="14" t="s">
        <v>743</v>
      </c>
      <c r="B114" s="19" t="n">
        <f aca="false">Impresa_guida!$B$26*Impresa_guida!$B$34/Impresa_guida!$B$37</f>
        <v>2962750</v>
      </c>
      <c r="C114" s="16" t="s">
        <v>140</v>
      </c>
      <c r="D114" s="20" t="n">
        <v>2962750</v>
      </c>
      <c r="E114" s="21" t="str">
        <f aca="false">IF(ABS(B114-D114)&lt;=0.5,"OK","DIVERSO")</f>
        <v>OK</v>
      </c>
      <c r="F114" s="16" t="s">
        <v>659</v>
      </c>
    </row>
    <row r="115" customFormat="false" ht="15" hidden="false" customHeight="true" outlineLevel="0" collapsed="false">
      <c r="A115" s="14" t="s">
        <v>744</v>
      </c>
      <c r="B115" s="28" t="str">
        <f aca="false">IF($B$113&lt;=$B$114,"Sotto la soglia: calcolo coerente","Sopra la soglia: ricalcolare")</f>
        <v>Sotto la soglia: calcolo coerente</v>
      </c>
      <c r="C115" s="16"/>
      <c r="D115" s="29" t="s">
        <v>745</v>
      </c>
      <c r="E115" s="21" t="str">
        <f aca="false">IF(B115=D115,"OK","DIVERSO")</f>
        <v>OK</v>
      </c>
      <c r="F115" s="16" t="s">
        <v>659</v>
      </c>
    </row>
    <row r="116" customFormat="false" ht="15" hidden="false" customHeight="true" outlineLevel="0" collapsed="false"/>
    <row r="117" customFormat="false" ht="15" hidden="false" customHeight="true" outlineLevel="0" collapsed="false">
      <c r="A117" s="13" t="s">
        <v>746</v>
      </c>
      <c r="B117" s="13"/>
      <c r="C117" s="13"/>
      <c r="D117" s="13"/>
      <c r="E117" s="13"/>
      <c r="F117" s="13"/>
    </row>
    <row r="118" customFormat="false" ht="15" hidden="false" customHeight="true" outlineLevel="0" collapsed="false">
      <c r="A118" s="22" t="s">
        <v>747</v>
      </c>
      <c r="B118" s="22"/>
      <c r="C118" s="22"/>
      <c r="D118" s="22"/>
      <c r="E118" s="22"/>
      <c r="F118" s="22"/>
    </row>
    <row r="119" customFormat="false" ht="15" hidden="false" customHeight="true" outlineLevel="0" collapsed="false">
      <c r="A119" s="6" t="s">
        <v>116</v>
      </c>
      <c r="B119" s="6" t="s">
        <v>117</v>
      </c>
      <c r="C119" s="6" t="s">
        <v>118</v>
      </c>
      <c r="D119" s="6" t="s">
        <v>119</v>
      </c>
      <c r="E119" s="6" t="s">
        <v>120</v>
      </c>
      <c r="F119" s="6" t="s">
        <v>121</v>
      </c>
    </row>
    <row r="120" customFormat="false" ht="15" hidden="false" customHeight="true" outlineLevel="0" collapsed="false">
      <c r="A120" s="14" t="s">
        <v>706</v>
      </c>
      <c r="B120" s="19" t="n">
        <f aca="false">Impresa_guida!$B$8/Impresa_guida!$B$16</f>
        <v>4</v>
      </c>
      <c r="C120" s="16" t="s">
        <v>707</v>
      </c>
      <c r="D120" s="20" t="n">
        <v>4</v>
      </c>
      <c r="E120" s="21" t="str">
        <f aca="false">IF(ABS(B120-D120)&lt;=0.5,"OK","DIVERSO")</f>
        <v>OK</v>
      </c>
      <c r="F120" s="16" t="s">
        <v>659</v>
      </c>
    </row>
    <row r="121" customFormat="false" ht="15" hidden="false" customHeight="true" outlineLevel="0" collapsed="false">
      <c r="A121" s="14" t="s">
        <v>708</v>
      </c>
      <c r="B121" s="19" t="n">
        <f aca="false">Impresa_guida!$B$12/Impresa_guida!$B$16</f>
        <v>6</v>
      </c>
      <c r="C121" s="16" t="s">
        <v>707</v>
      </c>
      <c r="D121" s="20" t="n">
        <v>6</v>
      </c>
      <c r="E121" s="21" t="str">
        <f aca="false">IF(ABS(B121-D121)&lt;=0.5,"OK","DIVERSO")</f>
        <v>OK</v>
      </c>
      <c r="F121" s="16" t="s">
        <v>659</v>
      </c>
    </row>
    <row r="122" customFormat="false" ht="15" hidden="false" customHeight="true" outlineLevel="0" collapsed="false">
      <c r="A122" s="14" t="s">
        <v>748</v>
      </c>
      <c r="B122" s="19" t="n">
        <f aca="false">Impresa_guida!$B$16/Impresa_guida!$B$16</f>
        <v>1</v>
      </c>
      <c r="C122" s="16" t="s">
        <v>707</v>
      </c>
      <c r="D122" s="20" t="n">
        <v>1</v>
      </c>
      <c r="E122" s="21" t="str">
        <f aca="false">IF(ABS(B122-D122)&lt;=0.5,"OK","DIVERSO")</f>
        <v>OK</v>
      </c>
      <c r="F122" s="16" t="s">
        <v>659</v>
      </c>
    </row>
    <row r="123" customFormat="false" ht="15" hidden="false" customHeight="true" outlineLevel="0" collapsed="false">
      <c r="A123" s="14" t="s">
        <v>704</v>
      </c>
      <c r="B123" s="19" t="n">
        <f aca="false">Impresa_guida!$B$9-Impresa_guida!$B$10</f>
        <v>63</v>
      </c>
      <c r="C123" s="16" t="s">
        <v>126</v>
      </c>
      <c r="D123" s="20" t="n">
        <v>63</v>
      </c>
      <c r="E123" s="21" t="str">
        <f aca="false">IF(ABS(B123-D123)&lt;=0.5,"OK","DIVERSO")</f>
        <v>OK</v>
      </c>
      <c r="F123" s="16" t="s">
        <v>659</v>
      </c>
    </row>
    <row r="124" customFormat="false" ht="15" hidden="false" customHeight="true" outlineLevel="0" collapsed="false">
      <c r="A124" s="14" t="s">
        <v>705</v>
      </c>
      <c r="B124" s="19" t="n">
        <f aca="false">Impresa_guida!$B$13-Impresa_guida!$B$14</f>
        <v>38</v>
      </c>
      <c r="C124" s="16" t="s">
        <v>126</v>
      </c>
      <c r="D124" s="20" t="n">
        <v>38</v>
      </c>
      <c r="E124" s="21" t="str">
        <f aca="false">IF(ABS(B124-D124)&lt;=0.5,"OK","DIVERSO")</f>
        <v>OK</v>
      </c>
      <c r="F124" s="16" t="s">
        <v>659</v>
      </c>
    </row>
    <row r="125" customFormat="false" ht="15" hidden="false" customHeight="true" outlineLevel="0" collapsed="false">
      <c r="A125" s="14" t="s">
        <v>749</v>
      </c>
      <c r="B125" s="19" t="n">
        <f aca="false">Impresa_guida!$B$17-Impresa_guida!$B$18</f>
        <v>51</v>
      </c>
      <c r="C125" s="16" t="s">
        <v>126</v>
      </c>
      <c r="D125" s="20" t="n">
        <v>51</v>
      </c>
      <c r="E125" s="21" t="str">
        <f aca="false">IF(ABS(B125-D125)&lt;=0.5,"OK","DIVERSO")</f>
        <v>OK</v>
      </c>
      <c r="F125" s="16" t="s">
        <v>659</v>
      </c>
    </row>
    <row r="126" customFormat="false" ht="15" hidden="false" customHeight="true" outlineLevel="0" collapsed="false">
      <c r="A126" s="14" t="s">
        <v>712</v>
      </c>
      <c r="B126" s="19" t="n">
        <f aca="false">$B$120*$B$123+$B$121*$B$124+$B$122*$B$125</f>
        <v>531</v>
      </c>
      <c r="C126" s="16" t="s">
        <v>710</v>
      </c>
      <c r="D126" s="20" t="n">
        <v>531</v>
      </c>
      <c r="E126" s="21" t="str">
        <f aca="false">IF(ABS(B126-D126)&lt;=0.5,"OK","DIVERSO")</f>
        <v>OK</v>
      </c>
      <c r="F126" s="16" t="s">
        <v>659</v>
      </c>
    </row>
    <row r="127" customFormat="false" ht="15" hidden="false" customHeight="true" outlineLevel="0" collapsed="false">
      <c r="A127" s="14" t="s">
        <v>750</v>
      </c>
      <c r="B127" s="19" t="n">
        <f aca="false">Impresa_guida!$B$16/$B$122</f>
        <v>2000</v>
      </c>
      <c r="C127" s="16" t="s">
        <v>714</v>
      </c>
      <c r="D127" s="20" t="n">
        <v>2000</v>
      </c>
      <c r="E127" s="21" t="str">
        <f aca="false">IF(ABS(B127-D127)&lt;=0.5,"OK","DIVERSO")</f>
        <v>OK</v>
      </c>
      <c r="F127" s="16" t="s">
        <v>659</v>
      </c>
    </row>
    <row r="128" customFormat="false" ht="15" hidden="false" customHeight="true" outlineLevel="0" collapsed="false">
      <c r="A128" s="14" t="s">
        <v>751</v>
      </c>
      <c r="B128" s="19" t="n">
        <f aca="false">$B$127*$B$126</f>
        <v>1062000</v>
      </c>
      <c r="C128" s="16" t="s">
        <v>140</v>
      </c>
      <c r="D128" s="20" t="n">
        <v>1062000</v>
      </c>
      <c r="E128" s="21" t="str">
        <f aca="false">IF(ABS(B128-D128)&lt;=0.5,"OK","DIVERSO")</f>
        <v>OK</v>
      </c>
      <c r="F128" s="16" t="s">
        <v>659</v>
      </c>
    </row>
    <row r="129" customFormat="false" ht="15" hidden="false" customHeight="true" outlineLevel="0" collapsed="false">
      <c r="A129" s="14" t="s">
        <v>752</v>
      </c>
      <c r="B129" s="23" t="n">
        <f aca="false">Impresa_guida!$B$40/$B$126</f>
        <v>1386.06403013183</v>
      </c>
      <c r="C129" s="16" t="s">
        <v>714</v>
      </c>
      <c r="D129" s="24" t="n">
        <v>1386.06</v>
      </c>
      <c r="E129" s="21" t="str">
        <f aca="false">IF(ABS(B129-D129)&lt;=0.005,"OK","DIVERSO")</f>
        <v>OK</v>
      </c>
      <c r="F129" s="16" t="s">
        <v>659</v>
      </c>
    </row>
    <row r="130" customFormat="false" ht="15" hidden="false" customHeight="true" outlineLevel="0" collapsed="false">
      <c r="A130" s="14" t="s">
        <v>753</v>
      </c>
      <c r="B130" s="19" t="n">
        <f aca="false">ROUNDDOWN($B$129,0)*$B$126-Impresa_guida!$B$40</f>
        <v>-34</v>
      </c>
      <c r="C130" s="16" t="s">
        <v>140</v>
      </c>
      <c r="D130" s="20" t="n">
        <v>-34</v>
      </c>
      <c r="E130" s="21" t="str">
        <f aca="false">IF(ABS(B130-D130)&lt;=0.5,"OK","DIVERSO")</f>
        <v>OK</v>
      </c>
      <c r="F130" s="16" t="s">
        <v>659</v>
      </c>
    </row>
    <row r="131" customFormat="false" ht="15" hidden="false" customHeight="true" outlineLevel="0" collapsed="false">
      <c r="A131" s="14" t="s">
        <v>713</v>
      </c>
      <c r="B131" s="19" t="n">
        <f aca="false">ROUNDUP($B$129,0)</f>
        <v>1387</v>
      </c>
      <c r="C131" s="16" t="s">
        <v>714</v>
      </c>
      <c r="D131" s="20" t="n">
        <v>1387</v>
      </c>
      <c r="E131" s="21" t="str">
        <f aca="false">IF(ABS(B131-D131)&lt;=0.5,"OK","DIVERSO")</f>
        <v>OK</v>
      </c>
      <c r="F131" s="16" t="s">
        <v>659</v>
      </c>
    </row>
    <row r="132" customFormat="false" ht="15" hidden="false" customHeight="true" outlineLevel="0" collapsed="false">
      <c r="A132" s="14" t="s">
        <v>754</v>
      </c>
      <c r="B132" s="19" t="n">
        <f aca="false">$B$131*$B$126-Impresa_guida!$B$40</f>
        <v>497</v>
      </c>
      <c r="C132" s="16" t="s">
        <v>140</v>
      </c>
      <c r="D132" s="20" t="n">
        <v>497</v>
      </c>
      <c r="E132" s="21" t="str">
        <f aca="false">IF(ABS(B132-D132)&lt;=0.5,"OK","DIVERSO")</f>
        <v>OK</v>
      </c>
      <c r="F132" s="16" t="s">
        <v>659</v>
      </c>
    </row>
    <row r="133" customFormat="false" ht="15" hidden="false" customHeight="true" outlineLevel="0" collapsed="false">
      <c r="A133" s="14" t="s">
        <v>755</v>
      </c>
      <c r="B133" s="19" t="n">
        <f aca="false">$B$120*Impresa_guida!$B$9+$B$121*Impresa_guida!$B$13+$B$122*Impresa_guida!$B$17</f>
        <v>1693</v>
      </c>
      <c r="C133" s="16" t="s">
        <v>710</v>
      </c>
      <c r="D133" s="17"/>
      <c r="E133" s="17"/>
      <c r="F133" s="16" t="s">
        <v>659</v>
      </c>
    </row>
    <row r="134" customFormat="false" ht="15" hidden="false" customHeight="true" outlineLevel="0" collapsed="false">
      <c r="A134" s="14" t="s">
        <v>756</v>
      </c>
      <c r="B134" s="19" t="n">
        <f aca="false">$B$131*$B$133</f>
        <v>2348191</v>
      </c>
      <c r="C134" s="16" t="s">
        <v>140</v>
      </c>
      <c r="D134" s="20" t="n">
        <v>2348191</v>
      </c>
      <c r="E134" s="21" t="str">
        <f aca="false">IF(ABS(B134-D134)&lt;=0.5,"OK","DIVERSO")</f>
        <v>OK</v>
      </c>
      <c r="F134" s="16" t="s">
        <v>659</v>
      </c>
    </row>
    <row r="135" customFormat="false" ht="15" hidden="false" customHeight="true" outlineLevel="0" collapsed="false">
      <c r="A135" s="14" t="s">
        <v>715</v>
      </c>
      <c r="B135" s="19" t="n">
        <f aca="false">$B$131*$B$120</f>
        <v>5548</v>
      </c>
      <c r="C135" s="16" t="s">
        <v>123</v>
      </c>
      <c r="D135" s="20" t="n">
        <v>5548</v>
      </c>
      <c r="E135" s="21" t="str">
        <f aca="false">IF(ABS(B135-D135)&lt;=0.5,"OK","DIVERSO")</f>
        <v>OK</v>
      </c>
      <c r="F135" s="16" t="s">
        <v>659</v>
      </c>
    </row>
    <row r="136" customFormat="false" ht="15" hidden="false" customHeight="true" outlineLevel="0" collapsed="false">
      <c r="A136" s="14" t="s">
        <v>716</v>
      </c>
      <c r="B136" s="19" t="n">
        <f aca="false">$B$131*$B$121</f>
        <v>8322</v>
      </c>
      <c r="C136" s="16" t="s">
        <v>123</v>
      </c>
      <c r="D136" s="20" t="n">
        <v>8322</v>
      </c>
      <c r="E136" s="21" t="str">
        <f aca="false">IF(ABS(B136-D136)&lt;=0.5,"OK","DIVERSO")</f>
        <v>OK</v>
      </c>
      <c r="F136" s="16" t="s">
        <v>659</v>
      </c>
    </row>
    <row r="137" customFormat="false" ht="15" hidden="false" customHeight="true" outlineLevel="0" collapsed="false">
      <c r="A137" s="14" t="s">
        <v>757</v>
      </c>
      <c r="B137" s="19" t="n">
        <f aca="false">$B$131*$B$122</f>
        <v>1387</v>
      </c>
      <c r="C137" s="16" t="s">
        <v>123</v>
      </c>
      <c r="D137" s="20" t="n">
        <v>1387</v>
      </c>
      <c r="E137" s="21" t="str">
        <f aca="false">IF(ABS(B137-D137)&lt;=0.5,"OK","DIVERSO")</f>
        <v>OK</v>
      </c>
      <c r="F137" s="16" t="s">
        <v>659</v>
      </c>
    </row>
    <row r="138" customFormat="false" ht="15" hidden="false" customHeight="true" outlineLevel="0" collapsed="false">
      <c r="A138" s="14" t="s">
        <v>758</v>
      </c>
      <c r="B138" s="19" t="n">
        <f aca="false">$B$135*Impresa_guida!$B$11+$B$136*Impresa_guida!$B$15+$B$137*Impresa_guida!$B$19</f>
        <v>16644</v>
      </c>
      <c r="C138" s="16" t="s">
        <v>144</v>
      </c>
      <c r="D138" s="20" t="n">
        <v>16644</v>
      </c>
      <c r="E138" s="21" t="str">
        <f aca="false">IF(ABS(B138-D138)&lt;=0.5,"OK","DIVERSO")</f>
        <v>OK</v>
      </c>
      <c r="F138" s="16" t="s">
        <v>659</v>
      </c>
    </row>
    <row r="139" customFormat="false" ht="15" hidden="false" customHeight="true" outlineLevel="0" collapsed="false"/>
    <row r="140" customFormat="false" ht="15" hidden="false" customHeight="true" outlineLevel="0" collapsed="false">
      <c r="A140" s="13" t="s">
        <v>759</v>
      </c>
      <c r="B140" s="13"/>
      <c r="C140" s="13"/>
      <c r="D140" s="13"/>
      <c r="E140" s="13"/>
      <c r="F140" s="13"/>
    </row>
    <row r="141" customFormat="false" ht="15" hidden="false" customHeight="true" outlineLevel="0" collapsed="false">
      <c r="A141" s="22" t="s">
        <v>760</v>
      </c>
      <c r="B141" s="22"/>
      <c r="C141" s="22"/>
      <c r="D141" s="22"/>
      <c r="E141" s="22"/>
      <c r="F141" s="22"/>
    </row>
    <row r="142" customFormat="false" ht="15" hidden="false" customHeight="true" outlineLevel="0" collapsed="false">
      <c r="A142" s="6" t="s">
        <v>116</v>
      </c>
      <c r="B142" s="6" t="s">
        <v>117</v>
      </c>
      <c r="C142" s="6" t="s">
        <v>118</v>
      </c>
      <c r="D142" s="6" t="s">
        <v>119</v>
      </c>
      <c r="E142" s="6" t="s">
        <v>120</v>
      </c>
      <c r="F142" s="6" t="s">
        <v>121</v>
      </c>
    </row>
    <row r="143" customFormat="false" ht="15" hidden="false" customHeight="true" outlineLevel="0" collapsed="false">
      <c r="A143" s="14" t="s">
        <v>688</v>
      </c>
      <c r="B143" s="19" t="n">
        <f aca="false">Impresa_guida!$B$34-$B$113</f>
        <v>1039393.59698682</v>
      </c>
      <c r="C143" s="16" t="s">
        <v>140</v>
      </c>
      <c r="D143" s="20" t="n">
        <v>1039394</v>
      </c>
      <c r="E143" s="21" t="str">
        <f aca="false">IF(ABS(B143-D143)&lt;=0.5,"OK","DIVERSO")</f>
        <v>OK</v>
      </c>
      <c r="F143" s="16" t="s">
        <v>659</v>
      </c>
    </row>
    <row r="144" customFormat="false" ht="15" hidden="false" customHeight="true" outlineLevel="0" collapsed="false">
      <c r="A144" s="14" t="s">
        <v>691</v>
      </c>
      <c r="B144" s="26" t="n">
        <f aca="false">$B$143/Impresa_guida!$B$34</f>
        <v>0.306967984934087</v>
      </c>
      <c r="C144" s="16" t="s">
        <v>319</v>
      </c>
      <c r="D144" s="27" t="n">
        <v>0.307</v>
      </c>
      <c r="E144" s="21" t="str">
        <f aca="false">IF(ABS(B144-D144)&lt;=0.0005,"OK","DIVERSO")</f>
        <v>OK</v>
      </c>
      <c r="F144" s="16" t="s">
        <v>659</v>
      </c>
    </row>
    <row r="145" customFormat="false" ht="15" hidden="false" customHeight="true" outlineLevel="0" collapsed="false">
      <c r="A145" s="14" t="s">
        <v>761</v>
      </c>
      <c r="B145" s="19" t="n">
        <f aca="false">Impresa_guida!$B$36-Impresa_guida!$B$27*Impresa_guida!$B$37</f>
        <v>390000</v>
      </c>
      <c r="C145" s="16" t="s">
        <v>140</v>
      </c>
      <c r="D145" s="20" t="n">
        <v>390000</v>
      </c>
      <c r="E145" s="21" t="str">
        <f aca="false">IF(ABS(B145-D145)&lt;=0.5,"OK","DIVERSO")</f>
        <v>OK</v>
      </c>
      <c r="F145" s="16" t="s">
        <v>659</v>
      </c>
    </row>
    <row r="146" customFormat="false" ht="15" hidden="false" customHeight="true" outlineLevel="0" collapsed="false">
      <c r="A146" s="14" t="s">
        <v>762</v>
      </c>
      <c r="B146" s="23" t="n">
        <f aca="false">$B$145/Impresa_guida!$B$42</f>
        <v>1.61157024793388</v>
      </c>
      <c r="C146" s="16" t="s">
        <v>518</v>
      </c>
      <c r="D146" s="24" t="n">
        <v>1.61</v>
      </c>
      <c r="E146" s="21" t="str">
        <f aca="false">IF(ABS(B146-D146)&lt;=0.005,"OK","DIVERSO")</f>
        <v>OK</v>
      </c>
      <c r="F146" s="16" t="s">
        <v>659</v>
      </c>
    </row>
    <row r="147" customFormat="false" ht="15" hidden="false" customHeight="true" outlineLevel="0" collapsed="false">
      <c r="A147" s="14" t="s">
        <v>763</v>
      </c>
      <c r="B147" s="23" t="n">
        <f aca="false">Impresa_guida!$B$36/Impresa_guida!$B$42</f>
        <v>4.38842975206612</v>
      </c>
      <c r="C147" s="16" t="s">
        <v>518</v>
      </c>
      <c r="D147" s="24" t="n">
        <v>4.39</v>
      </c>
      <c r="E147" s="21" t="str">
        <f aca="false">IF(ABS(B147-D147)&lt;=0.005,"OK","DIVERSO")</f>
        <v>OK</v>
      </c>
      <c r="F147" s="16" t="s">
        <v>659</v>
      </c>
    </row>
    <row r="148" customFormat="false" ht="15" hidden="false" customHeight="true" outlineLevel="0" collapsed="false">
      <c r="A148" s="14" t="s">
        <v>764</v>
      </c>
      <c r="B148" s="26" t="n">
        <f aca="false">1-$B$114/Impresa_guida!$B$34</f>
        <v>0.125</v>
      </c>
      <c r="C148" s="16" t="s">
        <v>319</v>
      </c>
      <c r="D148" s="27" t="n">
        <v>0.125</v>
      </c>
      <c r="E148" s="21" t="str">
        <f aca="false">IF(ABS(B148-D148)&lt;=0.0005,"OK","DIVERSO")</f>
        <v>OK</v>
      </c>
      <c r="F148" s="16" t="s">
        <v>659</v>
      </c>
    </row>
    <row r="149" customFormat="false" ht="15" hidden="false" customHeight="true" outlineLevel="0" collapsed="false">
      <c r="A149" s="14" t="s">
        <v>765</v>
      </c>
      <c r="B149" s="25" t="n">
        <v>0.01</v>
      </c>
      <c r="C149" s="16" t="s">
        <v>319</v>
      </c>
      <c r="D149" s="17"/>
      <c r="E149" s="17"/>
      <c r="F149" s="16" t="s">
        <v>659</v>
      </c>
    </row>
    <row r="150" customFormat="false" ht="15" hidden="false" customHeight="true" outlineLevel="0" collapsed="false">
      <c r="A150" s="14" t="s">
        <v>766</v>
      </c>
      <c r="B150" s="19" t="n">
        <f aca="false">$B$149*Impresa_guida!$B$36</f>
        <v>10620</v>
      </c>
      <c r="C150" s="16" t="s">
        <v>140</v>
      </c>
      <c r="D150" s="20" t="n">
        <v>10620</v>
      </c>
      <c r="E150" s="21" t="str">
        <f aca="false">IF(ABS(B150-D150)&lt;=0.5,"OK","DIVERSO")</f>
        <v>OK</v>
      </c>
      <c r="F150" s="16" t="s">
        <v>659</v>
      </c>
    </row>
    <row r="151" customFormat="false" ht="15" hidden="false" customHeight="true" outlineLevel="0" collapsed="false">
      <c r="A151" s="14" t="s">
        <v>767</v>
      </c>
      <c r="B151" s="19" t="n">
        <f aca="false">$B$149*Impresa_guida!$B$37</f>
        <v>240</v>
      </c>
      <c r="C151" s="16" t="s">
        <v>144</v>
      </c>
      <c r="D151" s="20" t="n">
        <v>240</v>
      </c>
      <c r="E151" s="21" t="str">
        <f aca="false">IF(ABS(B151-D151)&lt;=0.5,"OK","DIVERSO")</f>
        <v>OK</v>
      </c>
      <c r="F151" s="16" t="s">
        <v>659</v>
      </c>
    </row>
    <row r="152" customFormat="false" ht="15" hidden="false" customHeight="true" outlineLevel="0" collapsed="false">
      <c r="A152" s="14" t="s">
        <v>768</v>
      </c>
      <c r="B152" s="19" t="n">
        <f aca="false">$B$151*Impresa_guida!$B$27</f>
        <v>6720</v>
      </c>
      <c r="C152" s="16" t="s">
        <v>140</v>
      </c>
      <c r="D152" s="20" t="n">
        <v>6720</v>
      </c>
      <c r="E152" s="21" t="str">
        <f aca="false">IF(ABS(B152-D152)&lt;=0.5,"OK","DIVERSO")</f>
        <v>OK</v>
      </c>
      <c r="F152" s="16" t="s">
        <v>659</v>
      </c>
    </row>
    <row r="153" customFormat="false" ht="15" hidden="false" customHeight="true" outlineLevel="0" collapsed="false">
      <c r="A153" s="14" t="s">
        <v>769</v>
      </c>
      <c r="B153" s="19" t="n">
        <f aca="false">$B$150-$B$152</f>
        <v>3900</v>
      </c>
      <c r="C153" s="16" t="s">
        <v>140</v>
      </c>
      <c r="D153" s="20" t="n">
        <v>3900</v>
      </c>
      <c r="E153" s="21" t="str">
        <f aca="false">IF(ABS(B153-D153)&lt;=0.5,"OK","DIVERSO")</f>
        <v>OK</v>
      </c>
      <c r="F153" s="16" t="s">
        <v>659</v>
      </c>
    </row>
    <row r="154" customFormat="false" ht="15" hidden="false" customHeight="true" outlineLevel="0" collapsed="false">
      <c r="A154" s="14" t="s">
        <v>770</v>
      </c>
      <c r="B154" s="34" t="n">
        <f aca="false">$B$153/Impresa_guida!$B$42</f>
        <v>0.0161157024793388</v>
      </c>
      <c r="C154" s="16" t="s">
        <v>319</v>
      </c>
      <c r="D154" s="35" t="n">
        <v>0.0161</v>
      </c>
      <c r="E154" s="21" t="str">
        <f aca="false">IF(ABS(B154-D154)&lt;=0.00005,"OK","DIVERSO")</f>
        <v>OK</v>
      </c>
      <c r="F154" s="16" t="s">
        <v>659</v>
      </c>
    </row>
  </sheetData>
  <mergeCells count="26">
    <mergeCell ref="A1:F1"/>
    <mergeCell ref="A4:F4"/>
    <mergeCell ref="A6:F6"/>
    <mergeCell ref="A7:F7"/>
    <mergeCell ref="A19:F19"/>
    <mergeCell ref="A20:F20"/>
    <mergeCell ref="A30:F30"/>
    <mergeCell ref="A31:F31"/>
    <mergeCell ref="A36:F36"/>
    <mergeCell ref="A37:F37"/>
    <mergeCell ref="A47:F47"/>
    <mergeCell ref="A48:F48"/>
    <mergeCell ref="A54:F54"/>
    <mergeCell ref="A55:F55"/>
    <mergeCell ref="A66:F66"/>
    <mergeCell ref="A67:F67"/>
    <mergeCell ref="A81:F81"/>
    <mergeCell ref="A82:F82"/>
    <mergeCell ref="A94:F94"/>
    <mergeCell ref="A95:F95"/>
    <mergeCell ref="A109:F109"/>
    <mergeCell ref="A110:F110"/>
    <mergeCell ref="A117:F117"/>
    <mergeCell ref="A118:F118"/>
    <mergeCell ref="A140:F140"/>
    <mergeCell ref="A141:F1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44</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771</v>
      </c>
      <c r="B4" s="5"/>
      <c r="C4" s="5"/>
      <c r="D4" s="5"/>
      <c r="E4" s="5"/>
      <c r="F4" s="5"/>
    </row>
    <row r="5" customFormat="false" ht="15" hidden="false" customHeight="true" outlineLevel="0" collapsed="false"/>
    <row r="6" customFormat="false" ht="15" hidden="false" customHeight="true" outlineLevel="0" collapsed="false">
      <c r="A6" s="13" t="s">
        <v>772</v>
      </c>
      <c r="B6" s="13"/>
      <c r="C6" s="13"/>
      <c r="D6" s="13"/>
      <c r="E6" s="13"/>
      <c r="F6" s="13"/>
    </row>
    <row r="7" customFormat="false" ht="15" hidden="false" customHeight="true" outlineLevel="0" collapsed="false">
      <c r="A7" s="22" t="s">
        <v>773</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774</v>
      </c>
      <c r="B9" s="15" t="n">
        <v>480000</v>
      </c>
      <c r="C9" s="16" t="s">
        <v>140</v>
      </c>
      <c r="D9" s="17"/>
      <c r="E9" s="17"/>
      <c r="F9" s="16" t="s">
        <v>775</v>
      </c>
    </row>
    <row r="10" customFormat="false" ht="15" hidden="false" customHeight="true" outlineLevel="0" collapsed="false">
      <c r="A10" s="14" t="s">
        <v>776</v>
      </c>
      <c r="B10" s="15" t="n">
        <v>150000</v>
      </c>
      <c r="C10" s="16" t="s">
        <v>140</v>
      </c>
      <c r="D10" s="17"/>
      <c r="E10" s="17"/>
      <c r="F10" s="16" t="s">
        <v>775</v>
      </c>
    </row>
    <row r="11" customFormat="false" ht="15" hidden="false" customHeight="true" outlineLevel="0" collapsed="false">
      <c r="A11" s="14" t="s">
        <v>777</v>
      </c>
      <c r="B11" s="15" t="n">
        <v>90000</v>
      </c>
      <c r="C11" s="16" t="s">
        <v>140</v>
      </c>
      <c r="D11" s="17"/>
      <c r="E11" s="17"/>
      <c r="F11" s="16" t="s">
        <v>775</v>
      </c>
    </row>
    <row r="12" customFormat="false" ht="15" hidden="false" customHeight="true" outlineLevel="0" collapsed="false">
      <c r="A12" s="14" t="s">
        <v>778</v>
      </c>
      <c r="B12" s="15" t="n">
        <v>1200</v>
      </c>
      <c r="C12" s="16" t="s">
        <v>779</v>
      </c>
      <c r="D12" s="17"/>
      <c r="E12" s="17"/>
      <c r="F12" s="16" t="s">
        <v>775</v>
      </c>
    </row>
    <row r="13" customFormat="false" ht="15" hidden="false" customHeight="true" outlineLevel="0" collapsed="false">
      <c r="A13" s="14" t="s">
        <v>780</v>
      </c>
      <c r="B13" s="15" t="n">
        <v>50</v>
      </c>
      <c r="C13" s="16" t="s">
        <v>781</v>
      </c>
      <c r="D13" s="17"/>
      <c r="E13" s="17"/>
      <c r="F13" s="16" t="s">
        <v>775</v>
      </c>
    </row>
    <row r="14" customFormat="false" ht="15" hidden="false" customHeight="true" outlineLevel="0" collapsed="false">
      <c r="A14" s="14" t="s">
        <v>782</v>
      </c>
      <c r="B14" s="19" t="n">
        <f aca="false">$B$12*$B$13</f>
        <v>60000</v>
      </c>
      <c r="C14" s="16" t="s">
        <v>140</v>
      </c>
      <c r="D14" s="20" t="n">
        <v>60000</v>
      </c>
      <c r="E14" s="21" t="str">
        <f aca="false">IF(ABS(B14-D14)&lt;=0.5,"OK","DIVERSO")</f>
        <v>OK</v>
      </c>
      <c r="F14" s="16" t="s">
        <v>775</v>
      </c>
    </row>
    <row r="15" customFormat="false" ht="15" hidden="false" customHeight="true" outlineLevel="0" collapsed="false">
      <c r="A15" s="14" t="s">
        <v>783</v>
      </c>
      <c r="B15" s="19" t="n">
        <f aca="false">$B$9+$B$10+$B$11+$B$14</f>
        <v>780000</v>
      </c>
      <c r="C15" s="16" t="s">
        <v>140</v>
      </c>
      <c r="D15" s="20" t="n">
        <v>780000</v>
      </c>
      <c r="E15" s="21" t="str">
        <f aca="false">IF(ABS(B15-D15)&lt;=0.5,"OK","DIVERSO")</f>
        <v>OK</v>
      </c>
      <c r="F15" s="16" t="s">
        <v>775</v>
      </c>
    </row>
    <row r="16" customFormat="false" ht="15" hidden="false" customHeight="true" outlineLevel="0" collapsed="false"/>
    <row r="17" customFormat="false" ht="15" hidden="false" customHeight="true" outlineLevel="0" collapsed="false">
      <c r="A17" s="13" t="s">
        <v>784</v>
      </c>
      <c r="B17" s="13"/>
      <c r="C17" s="13"/>
      <c r="D17" s="13"/>
      <c r="E17" s="13"/>
      <c r="F17" s="13"/>
    </row>
    <row r="18" customFormat="false" ht="15" hidden="false" customHeight="true" outlineLevel="0" collapsed="false">
      <c r="A18" s="22" t="s">
        <v>785</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786</v>
      </c>
      <c r="B20" s="25" t="n">
        <v>0.25</v>
      </c>
      <c r="C20" s="16" t="s">
        <v>319</v>
      </c>
      <c r="D20" s="17"/>
      <c r="E20" s="17"/>
      <c r="F20" s="16" t="s">
        <v>775</v>
      </c>
    </row>
    <row r="21" customFormat="false" ht="15" hidden="false" customHeight="true" outlineLevel="0" collapsed="false">
      <c r="A21" s="14" t="s">
        <v>787</v>
      </c>
      <c r="B21" s="25" t="n">
        <v>0.35</v>
      </c>
      <c r="C21" s="16" t="s">
        <v>319</v>
      </c>
      <c r="D21" s="17"/>
      <c r="E21" s="17"/>
      <c r="F21" s="16" t="s">
        <v>775</v>
      </c>
    </row>
    <row r="22" customFormat="false" ht="15" hidden="false" customHeight="true" outlineLevel="0" collapsed="false">
      <c r="A22" s="14" t="s">
        <v>788</v>
      </c>
      <c r="B22" s="25" t="n">
        <v>0.15</v>
      </c>
      <c r="C22" s="16" t="s">
        <v>319</v>
      </c>
      <c r="D22" s="17"/>
      <c r="E22" s="17"/>
      <c r="F22" s="16" t="s">
        <v>775</v>
      </c>
    </row>
    <row r="23" customFormat="false" ht="15" hidden="false" customHeight="true" outlineLevel="0" collapsed="false">
      <c r="A23" s="14" t="s">
        <v>789</v>
      </c>
      <c r="B23" s="25" t="n">
        <v>0.25</v>
      </c>
      <c r="C23" s="16" t="s">
        <v>319</v>
      </c>
      <c r="D23" s="17"/>
      <c r="E23" s="17"/>
      <c r="F23" s="16" t="s">
        <v>775</v>
      </c>
    </row>
    <row r="24" customFormat="false" ht="15" hidden="false" customHeight="true" outlineLevel="0" collapsed="false">
      <c r="A24" s="14" t="s">
        <v>790</v>
      </c>
      <c r="B24" s="19" t="n">
        <f aca="false">$B$9*$B$20</f>
        <v>120000</v>
      </c>
      <c r="C24" s="16" t="s">
        <v>140</v>
      </c>
      <c r="D24" s="20" t="n">
        <v>120000</v>
      </c>
      <c r="E24" s="21" t="str">
        <f aca="false">IF(ABS(B24-D24)&lt;=0.5,"OK","DIVERSO")</f>
        <v>OK</v>
      </c>
      <c r="F24" s="16" t="s">
        <v>775</v>
      </c>
    </row>
    <row r="25" customFormat="false" ht="15" hidden="false" customHeight="true" outlineLevel="0" collapsed="false">
      <c r="A25" s="14" t="s">
        <v>791</v>
      </c>
      <c r="B25" s="19" t="n">
        <f aca="false">$B$9*$B$21</f>
        <v>168000</v>
      </c>
      <c r="C25" s="16" t="s">
        <v>140</v>
      </c>
      <c r="D25" s="20" t="n">
        <v>168000</v>
      </c>
      <c r="E25" s="21" t="str">
        <f aca="false">IF(ABS(B25-D25)&lt;=0.5,"OK","DIVERSO")</f>
        <v>OK</v>
      </c>
      <c r="F25" s="16" t="s">
        <v>775</v>
      </c>
    </row>
    <row r="26" customFormat="false" ht="15" hidden="false" customHeight="true" outlineLevel="0" collapsed="false">
      <c r="A26" s="14" t="s">
        <v>792</v>
      </c>
      <c r="B26" s="19" t="n">
        <f aca="false">$B$9*$B$22</f>
        <v>72000</v>
      </c>
      <c r="C26" s="16" t="s">
        <v>140</v>
      </c>
      <c r="D26" s="20" t="n">
        <v>72000</v>
      </c>
      <c r="E26" s="21" t="str">
        <f aca="false">IF(ABS(B26-D26)&lt;=0.5,"OK","DIVERSO")</f>
        <v>OK</v>
      </c>
      <c r="F26" s="16" t="s">
        <v>775</v>
      </c>
    </row>
    <row r="27" customFormat="false" ht="15" hidden="false" customHeight="true" outlineLevel="0" collapsed="false">
      <c r="A27" s="14" t="s">
        <v>793</v>
      </c>
      <c r="B27" s="19" t="n">
        <f aca="false">$B$9*$B$23</f>
        <v>120000</v>
      </c>
      <c r="C27" s="16" t="s">
        <v>140</v>
      </c>
      <c r="D27" s="20" t="n">
        <v>120000</v>
      </c>
      <c r="E27" s="21" t="str">
        <f aca="false">IF(ABS(B27-D27)&lt;=0.5,"OK","DIVERSO")</f>
        <v>OK</v>
      </c>
      <c r="F27" s="16" t="s">
        <v>775</v>
      </c>
    </row>
    <row r="28" customFormat="false" ht="15" hidden="false" customHeight="true" outlineLevel="0" collapsed="false">
      <c r="A28" s="14" t="s">
        <v>794</v>
      </c>
      <c r="B28" s="19" t="n">
        <f aca="false">$B$24+$B$25+$B$26+$B$27</f>
        <v>480000</v>
      </c>
      <c r="C28" s="16" t="s">
        <v>140</v>
      </c>
      <c r="D28" s="20" t="n">
        <v>480000</v>
      </c>
      <c r="E28" s="21" t="str">
        <f aca="false">IF(ABS(B28-D28)&lt;=0.5,"OK","DIVERSO")</f>
        <v>OK</v>
      </c>
      <c r="F28" s="16" t="s">
        <v>775</v>
      </c>
    </row>
    <row r="29" customFormat="false" ht="15" hidden="false" customHeight="true" outlineLevel="0" collapsed="false">
      <c r="A29" s="14" t="s">
        <v>795</v>
      </c>
      <c r="B29" s="25" t="n">
        <v>0.3</v>
      </c>
      <c r="C29" s="16" t="s">
        <v>319</v>
      </c>
      <c r="D29" s="17"/>
      <c r="E29" s="17"/>
      <c r="F29" s="16" t="s">
        <v>775</v>
      </c>
    </row>
    <row r="30" customFormat="false" ht="15" hidden="false" customHeight="true" outlineLevel="0" collapsed="false">
      <c r="A30" s="14" t="s">
        <v>796</v>
      </c>
      <c r="B30" s="25" t="n">
        <v>0</v>
      </c>
      <c r="C30" s="16" t="s">
        <v>319</v>
      </c>
      <c r="D30" s="17"/>
      <c r="E30" s="17"/>
      <c r="F30" s="16" t="s">
        <v>775</v>
      </c>
    </row>
    <row r="31" customFormat="false" ht="15" hidden="false" customHeight="true" outlineLevel="0" collapsed="false">
      <c r="A31" s="14" t="s">
        <v>797</v>
      </c>
      <c r="B31" s="25" t="n">
        <v>0.4</v>
      </c>
      <c r="C31" s="16" t="s">
        <v>319</v>
      </c>
      <c r="D31" s="17"/>
      <c r="E31" s="17"/>
      <c r="F31" s="16" t="s">
        <v>775</v>
      </c>
    </row>
    <row r="32" customFormat="false" ht="15" hidden="false" customHeight="true" outlineLevel="0" collapsed="false">
      <c r="A32" s="14" t="s">
        <v>798</v>
      </c>
      <c r="B32" s="25" t="n">
        <v>0.3</v>
      </c>
      <c r="C32" s="16" t="s">
        <v>319</v>
      </c>
      <c r="D32" s="17"/>
      <c r="E32" s="17"/>
      <c r="F32" s="16" t="s">
        <v>775</v>
      </c>
    </row>
    <row r="33" customFormat="false" ht="15" hidden="false" customHeight="true" outlineLevel="0" collapsed="false">
      <c r="A33" s="14" t="s">
        <v>799</v>
      </c>
      <c r="B33" s="19" t="n">
        <f aca="false">$B$10*$B$29</f>
        <v>45000</v>
      </c>
      <c r="C33" s="16" t="s">
        <v>140</v>
      </c>
      <c r="D33" s="20" t="n">
        <v>45000</v>
      </c>
      <c r="E33" s="21" t="str">
        <f aca="false">IF(ABS(B33-D33)&lt;=0.5,"OK","DIVERSO")</f>
        <v>OK</v>
      </c>
      <c r="F33" s="16" t="s">
        <v>775</v>
      </c>
    </row>
    <row r="34" customFormat="false" ht="15" hidden="false" customHeight="true" outlineLevel="0" collapsed="false">
      <c r="A34" s="14" t="s">
        <v>800</v>
      </c>
      <c r="B34" s="19" t="n">
        <f aca="false">$B$10*$B$30</f>
        <v>0</v>
      </c>
      <c r="C34" s="16" t="s">
        <v>140</v>
      </c>
      <c r="D34" s="20" t="n">
        <v>0</v>
      </c>
      <c r="E34" s="21" t="str">
        <f aca="false">IF(ABS(B34-D34)&lt;=0.5,"OK","DIVERSO")</f>
        <v>OK</v>
      </c>
      <c r="F34" s="16" t="s">
        <v>775</v>
      </c>
    </row>
    <row r="35" customFormat="false" ht="15" hidden="false" customHeight="true" outlineLevel="0" collapsed="false">
      <c r="A35" s="14" t="s">
        <v>801</v>
      </c>
      <c r="B35" s="19" t="n">
        <f aca="false">$B$10*$B$31</f>
        <v>60000</v>
      </c>
      <c r="C35" s="16" t="s">
        <v>140</v>
      </c>
      <c r="D35" s="20" t="n">
        <v>60000</v>
      </c>
      <c r="E35" s="21" t="str">
        <f aca="false">IF(ABS(B35-D35)&lt;=0.5,"OK","DIVERSO")</f>
        <v>OK</v>
      </c>
      <c r="F35" s="16" t="s">
        <v>775</v>
      </c>
    </row>
    <row r="36" customFormat="false" ht="15" hidden="false" customHeight="true" outlineLevel="0" collapsed="false">
      <c r="A36" s="14" t="s">
        <v>802</v>
      </c>
      <c r="B36" s="19" t="n">
        <f aca="false">$B$10*$B$32</f>
        <v>45000</v>
      </c>
      <c r="C36" s="16" t="s">
        <v>140</v>
      </c>
      <c r="D36" s="20" t="n">
        <v>45000</v>
      </c>
      <c r="E36" s="21" t="str">
        <f aca="false">IF(ABS(B36-D36)&lt;=0.5,"OK","DIVERSO")</f>
        <v>OK</v>
      </c>
      <c r="F36" s="16" t="s">
        <v>775</v>
      </c>
    </row>
    <row r="37" customFormat="false" ht="15" hidden="false" customHeight="true" outlineLevel="0" collapsed="false">
      <c r="A37" s="14" t="s">
        <v>803</v>
      </c>
      <c r="B37" s="19" t="n">
        <f aca="false">$B$33+$B$34+$B$35+$B$36</f>
        <v>150000</v>
      </c>
      <c r="C37" s="16" t="s">
        <v>140</v>
      </c>
      <c r="D37" s="20" t="n">
        <v>150000</v>
      </c>
      <c r="E37" s="21" t="str">
        <f aca="false">IF(ABS(B37-D37)&lt;=0.5,"OK","DIVERSO")</f>
        <v>OK</v>
      </c>
      <c r="F37" s="16" t="s">
        <v>775</v>
      </c>
    </row>
    <row r="38" customFormat="false" ht="15" hidden="false" customHeight="true" outlineLevel="0" collapsed="false"/>
    <row r="39" customFormat="false" ht="15" hidden="false" customHeight="true" outlineLevel="0" collapsed="false">
      <c r="A39" s="13" t="s">
        <v>804</v>
      </c>
      <c r="B39" s="13"/>
      <c r="C39" s="13"/>
      <c r="D39" s="13"/>
      <c r="E39" s="13"/>
      <c r="F39" s="13"/>
    </row>
    <row r="40" customFormat="false" ht="15" hidden="false" customHeight="true" outlineLevel="0" collapsed="false">
      <c r="A40" s="22" t="s">
        <v>805</v>
      </c>
      <c r="B40" s="22"/>
      <c r="C40" s="22"/>
      <c r="D40" s="22"/>
      <c r="E40" s="22"/>
      <c r="F40" s="22"/>
    </row>
    <row r="41" customFormat="false" ht="15" hidden="false" customHeight="true" outlineLevel="0" collapsed="false">
      <c r="A41" s="6" t="s">
        <v>116</v>
      </c>
      <c r="B41" s="6" t="s">
        <v>117</v>
      </c>
      <c r="C41" s="6" t="s">
        <v>118</v>
      </c>
      <c r="D41" s="6" t="s">
        <v>119</v>
      </c>
      <c r="E41" s="6" t="s">
        <v>120</v>
      </c>
      <c r="F41" s="6" t="s">
        <v>121</v>
      </c>
    </row>
    <row r="42" customFormat="false" ht="15" hidden="false" customHeight="true" outlineLevel="0" collapsed="false">
      <c r="A42" s="14" t="s">
        <v>806</v>
      </c>
      <c r="B42" s="25" t="n">
        <v>0.05</v>
      </c>
      <c r="C42" s="16" t="s">
        <v>319</v>
      </c>
      <c r="D42" s="17"/>
      <c r="E42" s="17"/>
      <c r="F42" s="16" t="s">
        <v>775</v>
      </c>
    </row>
    <row r="43" customFormat="false" ht="15" hidden="false" customHeight="true" outlineLevel="0" collapsed="false">
      <c r="A43" s="14" t="s">
        <v>807</v>
      </c>
      <c r="B43" s="25" t="n">
        <v>0.5</v>
      </c>
      <c r="C43" s="16" t="s">
        <v>319</v>
      </c>
      <c r="D43" s="17"/>
      <c r="E43" s="17"/>
      <c r="F43" s="16" t="s">
        <v>775</v>
      </c>
    </row>
    <row r="44" customFormat="false" ht="15" hidden="false" customHeight="true" outlineLevel="0" collapsed="false">
      <c r="A44" s="14" t="s">
        <v>808</v>
      </c>
      <c r="B44" s="25" t="n">
        <v>0.1</v>
      </c>
      <c r="C44" s="16" t="s">
        <v>319</v>
      </c>
      <c r="D44" s="17"/>
      <c r="E44" s="17"/>
      <c r="F44" s="16" t="s">
        <v>775</v>
      </c>
    </row>
    <row r="45" customFormat="false" ht="15" hidden="false" customHeight="true" outlineLevel="0" collapsed="false">
      <c r="A45" s="14" t="s">
        <v>809</v>
      </c>
      <c r="B45" s="25" t="n">
        <v>0.35</v>
      </c>
      <c r="C45" s="16" t="s">
        <v>319</v>
      </c>
      <c r="D45" s="17"/>
      <c r="E45" s="17"/>
      <c r="F45" s="16" t="s">
        <v>775</v>
      </c>
    </row>
    <row r="46" customFormat="false" ht="15" hidden="false" customHeight="true" outlineLevel="0" collapsed="false">
      <c r="A46" s="14" t="s">
        <v>810</v>
      </c>
      <c r="B46" s="19" t="n">
        <f aca="false">$B$11*$B$42</f>
        <v>4500</v>
      </c>
      <c r="C46" s="16" t="s">
        <v>140</v>
      </c>
      <c r="D46" s="20" t="n">
        <v>4500</v>
      </c>
      <c r="E46" s="21" t="str">
        <f aca="false">IF(ABS(B46-D46)&lt;=0.5,"OK","DIVERSO")</f>
        <v>OK</v>
      </c>
      <c r="F46" s="16" t="s">
        <v>775</v>
      </c>
    </row>
    <row r="47" customFormat="false" ht="15" hidden="false" customHeight="true" outlineLevel="0" collapsed="false">
      <c r="A47" s="14" t="s">
        <v>811</v>
      </c>
      <c r="B47" s="19" t="n">
        <f aca="false">$B$11*$B$43</f>
        <v>45000</v>
      </c>
      <c r="C47" s="16" t="s">
        <v>140</v>
      </c>
      <c r="D47" s="20" t="n">
        <v>45000</v>
      </c>
      <c r="E47" s="21" t="str">
        <f aca="false">IF(ABS(B47-D47)&lt;=0.5,"OK","DIVERSO")</f>
        <v>OK</v>
      </c>
      <c r="F47" s="16" t="s">
        <v>775</v>
      </c>
    </row>
    <row r="48" customFormat="false" ht="15" hidden="false" customHeight="true" outlineLevel="0" collapsed="false">
      <c r="A48" s="14" t="s">
        <v>812</v>
      </c>
      <c r="B48" s="19" t="n">
        <f aca="false">$B$11*$B$44</f>
        <v>9000</v>
      </c>
      <c r="C48" s="16" t="s">
        <v>140</v>
      </c>
      <c r="D48" s="20" t="n">
        <v>9000</v>
      </c>
      <c r="E48" s="21" t="str">
        <f aca="false">IF(ABS(B48-D48)&lt;=0.5,"OK","DIVERSO")</f>
        <v>OK</v>
      </c>
      <c r="F48" s="16" t="s">
        <v>775</v>
      </c>
    </row>
    <row r="49" customFormat="false" ht="15" hidden="false" customHeight="true" outlineLevel="0" collapsed="false">
      <c r="A49" s="14" t="s">
        <v>813</v>
      </c>
      <c r="B49" s="19" t="n">
        <f aca="false">$B$11*$B$45</f>
        <v>31500</v>
      </c>
      <c r="C49" s="16" t="s">
        <v>140</v>
      </c>
      <c r="D49" s="20" t="n">
        <v>31500</v>
      </c>
      <c r="E49" s="21" t="str">
        <f aca="false">IF(ABS(B49-D49)&lt;=0.5,"OK","DIVERSO")</f>
        <v>OK</v>
      </c>
      <c r="F49" s="16" t="s">
        <v>775</v>
      </c>
    </row>
    <row r="50" customFormat="false" ht="15" hidden="false" customHeight="true" outlineLevel="0" collapsed="false">
      <c r="A50" s="14" t="s">
        <v>814</v>
      </c>
      <c r="B50" s="19" t="n">
        <f aca="false">$B$46+$B$47+$B$48+$B$49</f>
        <v>90000</v>
      </c>
      <c r="C50" s="16" t="s">
        <v>140</v>
      </c>
      <c r="D50" s="20" t="n">
        <v>90000</v>
      </c>
      <c r="E50" s="21" t="str">
        <f aca="false">IF(ABS(B50-D50)&lt;=0.5,"OK","DIVERSO")</f>
        <v>OK</v>
      </c>
      <c r="F50" s="16" t="s">
        <v>775</v>
      </c>
    </row>
    <row r="51" customFormat="false" ht="15" hidden="false" customHeight="true" outlineLevel="0" collapsed="false">
      <c r="A51" s="14" t="s">
        <v>815</v>
      </c>
      <c r="B51" s="15" t="n">
        <v>210</v>
      </c>
      <c r="C51" s="16" t="s">
        <v>779</v>
      </c>
      <c r="D51" s="17"/>
      <c r="E51" s="17"/>
      <c r="F51" s="16" t="s">
        <v>775</v>
      </c>
    </row>
    <row r="52" customFormat="false" ht="15" hidden="false" customHeight="true" outlineLevel="0" collapsed="false">
      <c r="A52" s="14" t="s">
        <v>816</v>
      </c>
      <c r="B52" s="15" t="n">
        <v>540</v>
      </c>
      <c r="C52" s="16" t="s">
        <v>779</v>
      </c>
      <c r="D52" s="17"/>
      <c r="E52" s="17"/>
      <c r="F52" s="16" t="s">
        <v>775</v>
      </c>
    </row>
    <row r="53" customFormat="false" ht="15" hidden="false" customHeight="true" outlineLevel="0" collapsed="false">
      <c r="A53" s="14" t="s">
        <v>817</v>
      </c>
      <c r="B53" s="15" t="n">
        <v>180</v>
      </c>
      <c r="C53" s="16" t="s">
        <v>779</v>
      </c>
      <c r="D53" s="17"/>
      <c r="E53" s="17"/>
      <c r="F53" s="16" t="s">
        <v>775</v>
      </c>
    </row>
    <row r="54" customFormat="false" ht="15" hidden="false" customHeight="true" outlineLevel="0" collapsed="false">
      <c r="A54" s="14" t="s">
        <v>818</v>
      </c>
      <c r="B54" s="15" t="n">
        <v>270</v>
      </c>
      <c r="C54" s="16" t="s">
        <v>779</v>
      </c>
      <c r="D54" s="17"/>
      <c r="E54" s="17"/>
      <c r="F54" s="16" t="s">
        <v>775</v>
      </c>
    </row>
    <row r="55" customFormat="false" ht="15" hidden="false" customHeight="true" outlineLevel="0" collapsed="false">
      <c r="A55" s="14" t="s">
        <v>819</v>
      </c>
      <c r="B55" s="19" t="n">
        <f aca="false">$B$51*$B$13</f>
        <v>10500</v>
      </c>
      <c r="C55" s="16" t="s">
        <v>140</v>
      </c>
      <c r="D55" s="20" t="n">
        <v>10500</v>
      </c>
      <c r="E55" s="21" t="str">
        <f aca="false">IF(ABS(B55-D55)&lt;=0.5,"OK","DIVERSO")</f>
        <v>OK</v>
      </c>
      <c r="F55" s="16" t="s">
        <v>775</v>
      </c>
    </row>
    <row r="56" customFormat="false" ht="15" hidden="false" customHeight="true" outlineLevel="0" collapsed="false">
      <c r="A56" s="14" t="s">
        <v>820</v>
      </c>
      <c r="B56" s="19" t="n">
        <f aca="false">$B$52*$B$13</f>
        <v>27000</v>
      </c>
      <c r="C56" s="16" t="s">
        <v>140</v>
      </c>
      <c r="D56" s="20" t="n">
        <v>27000</v>
      </c>
      <c r="E56" s="21" t="str">
        <f aca="false">IF(ABS(B56-D56)&lt;=0.5,"OK","DIVERSO")</f>
        <v>OK</v>
      </c>
      <c r="F56" s="16" t="s">
        <v>775</v>
      </c>
    </row>
    <row r="57" customFormat="false" ht="15" hidden="false" customHeight="true" outlineLevel="0" collapsed="false">
      <c r="A57" s="14" t="s">
        <v>821</v>
      </c>
      <c r="B57" s="19" t="n">
        <f aca="false">$B$53*$B$13</f>
        <v>9000</v>
      </c>
      <c r="C57" s="16" t="s">
        <v>140</v>
      </c>
      <c r="D57" s="20" t="n">
        <v>9000</v>
      </c>
      <c r="E57" s="21" t="str">
        <f aca="false">IF(ABS(B57-D57)&lt;=0.5,"OK","DIVERSO")</f>
        <v>OK</v>
      </c>
      <c r="F57" s="16" t="s">
        <v>775</v>
      </c>
    </row>
    <row r="58" customFormat="false" ht="15" hidden="false" customHeight="true" outlineLevel="0" collapsed="false">
      <c r="A58" s="14" t="s">
        <v>822</v>
      </c>
      <c r="B58" s="19" t="n">
        <f aca="false">$B$54*$B$13</f>
        <v>13500</v>
      </c>
      <c r="C58" s="16" t="s">
        <v>140</v>
      </c>
      <c r="D58" s="20" t="n">
        <v>13500</v>
      </c>
      <c r="E58" s="21" t="str">
        <f aca="false">IF(ABS(B58-D58)&lt;=0.5,"OK","DIVERSO")</f>
        <v>OK</v>
      </c>
      <c r="F58" s="16" t="s">
        <v>775</v>
      </c>
    </row>
    <row r="59" customFormat="false" ht="15" hidden="false" customHeight="true" outlineLevel="0" collapsed="false">
      <c r="A59" s="14" t="s">
        <v>823</v>
      </c>
      <c r="B59" s="19" t="n">
        <f aca="false">$B$55+$B$56+$B$57+$B$58</f>
        <v>60000</v>
      </c>
      <c r="C59" s="16" t="s">
        <v>140</v>
      </c>
      <c r="D59" s="20" t="n">
        <v>60000</v>
      </c>
      <c r="E59" s="21" t="str">
        <f aca="false">IF(ABS(B59-D59)&lt;=0.5,"OK","DIVERSO")</f>
        <v>OK</v>
      </c>
      <c r="F59" s="16" t="s">
        <v>775</v>
      </c>
    </row>
    <row r="60" customFormat="false" ht="15" hidden="false" customHeight="true" outlineLevel="0" collapsed="false">
      <c r="A60" s="14" t="s">
        <v>824</v>
      </c>
      <c r="B60" s="19" t="n">
        <f aca="false">$B$51+$B$52+$B$53+$B$54-$B$12</f>
        <v>0</v>
      </c>
      <c r="C60" s="16" t="s">
        <v>779</v>
      </c>
      <c r="D60" s="20" t="n">
        <v>0</v>
      </c>
      <c r="E60" s="21" t="str">
        <f aca="false">IF(ABS(B60-D60)&lt;=0.5,"OK","DIVERSO")</f>
        <v>OK</v>
      </c>
      <c r="F60" s="16" t="s">
        <v>775</v>
      </c>
    </row>
    <row r="61" customFormat="false" ht="15" hidden="false" customHeight="true" outlineLevel="0" collapsed="false"/>
    <row r="62" customFormat="false" ht="15" hidden="false" customHeight="true" outlineLevel="0" collapsed="false">
      <c r="A62" s="13" t="s">
        <v>825</v>
      </c>
      <c r="B62" s="13"/>
      <c r="C62" s="13"/>
      <c r="D62" s="13"/>
      <c r="E62" s="13"/>
      <c r="F62" s="13"/>
    </row>
    <row r="63" customFormat="false" ht="15" hidden="false" customHeight="true" outlineLevel="0" collapsed="false">
      <c r="A63" s="22" t="s">
        <v>826</v>
      </c>
      <c r="B63" s="22"/>
      <c r="C63" s="22"/>
      <c r="D63" s="22"/>
      <c r="E63" s="22"/>
      <c r="F63" s="22"/>
    </row>
    <row r="64" customFormat="false" ht="15" hidden="false" customHeight="true" outlineLevel="0" collapsed="false">
      <c r="A64" s="6" t="s">
        <v>116</v>
      </c>
      <c r="B64" s="6" t="s">
        <v>117</v>
      </c>
      <c r="C64" s="6" t="s">
        <v>118</v>
      </c>
      <c r="D64" s="6" t="s">
        <v>119</v>
      </c>
      <c r="E64" s="6" t="s">
        <v>120</v>
      </c>
      <c r="F64" s="6" t="s">
        <v>121</v>
      </c>
    </row>
    <row r="65" customFormat="false" ht="15" hidden="false" customHeight="true" outlineLevel="0" collapsed="false">
      <c r="A65" s="14" t="s">
        <v>827</v>
      </c>
      <c r="B65" s="19" t="n">
        <f aca="false">$B$24+$B$33+$B$46+$B$55</f>
        <v>180000</v>
      </c>
      <c r="C65" s="16" t="s">
        <v>140</v>
      </c>
      <c r="D65" s="20" t="n">
        <v>180000</v>
      </c>
      <c r="E65" s="21" t="str">
        <f aca="false">IF(ABS(B65-D65)&lt;=0.5,"OK","DIVERSO")</f>
        <v>OK</v>
      </c>
      <c r="F65" s="16" t="s">
        <v>775</v>
      </c>
    </row>
    <row r="66" customFormat="false" ht="15" hidden="false" customHeight="true" outlineLevel="0" collapsed="false">
      <c r="A66" s="14" t="s">
        <v>828</v>
      </c>
      <c r="B66" s="19" t="n">
        <f aca="false">$B$25+$B$34+$B$47+$B$56</f>
        <v>240000</v>
      </c>
      <c r="C66" s="16" t="s">
        <v>140</v>
      </c>
      <c r="D66" s="20" t="n">
        <v>240000</v>
      </c>
      <c r="E66" s="21" t="str">
        <f aca="false">IF(ABS(B66-D66)&lt;=0.5,"OK","DIVERSO")</f>
        <v>OK</v>
      </c>
      <c r="F66" s="16" t="s">
        <v>775</v>
      </c>
    </row>
    <row r="67" customFormat="false" ht="15" hidden="false" customHeight="true" outlineLevel="0" collapsed="false">
      <c r="A67" s="14" t="s">
        <v>829</v>
      </c>
      <c r="B67" s="19" t="n">
        <f aca="false">$B$26+$B$35+$B$48+$B$57</f>
        <v>150000</v>
      </c>
      <c r="C67" s="16" t="s">
        <v>140</v>
      </c>
      <c r="D67" s="20" t="n">
        <v>150000</v>
      </c>
      <c r="E67" s="21" t="str">
        <f aca="false">IF(ABS(B67-D67)&lt;=0.5,"OK","DIVERSO")</f>
        <v>OK</v>
      </c>
      <c r="F67" s="16" t="s">
        <v>775</v>
      </c>
    </row>
    <row r="68" customFormat="false" ht="15" hidden="false" customHeight="true" outlineLevel="0" collapsed="false">
      <c r="A68" s="14" t="s">
        <v>830</v>
      </c>
      <c r="B68" s="19" t="n">
        <f aca="false">$B$27+$B$36+$B$49+$B$58</f>
        <v>210000</v>
      </c>
      <c r="C68" s="16" t="s">
        <v>140</v>
      </c>
      <c r="D68" s="20" t="n">
        <v>210000</v>
      </c>
      <c r="E68" s="21" t="str">
        <f aca="false">IF(ABS(B68-D68)&lt;=0.5,"OK","DIVERSO")</f>
        <v>OK</v>
      </c>
      <c r="F68" s="16" t="s">
        <v>775</v>
      </c>
    </row>
    <row r="69" customFormat="false" ht="15" hidden="false" customHeight="true" outlineLevel="0" collapsed="false">
      <c r="A69" s="14" t="s">
        <v>831</v>
      </c>
      <c r="B69" s="19" t="n">
        <f aca="false">$B$65+$B$66+$B$67+$B$68</f>
        <v>780000</v>
      </c>
      <c r="C69" s="16" t="s">
        <v>140</v>
      </c>
      <c r="D69" s="20" t="n">
        <v>780000</v>
      </c>
      <c r="E69" s="21" t="str">
        <f aca="false">IF(ABS(B69-D69)&lt;=0.5,"OK","DIVERSO")</f>
        <v>OK</v>
      </c>
      <c r="F69" s="16" t="s">
        <v>775</v>
      </c>
    </row>
    <row r="70" customFormat="false" ht="15" hidden="false" customHeight="true" outlineLevel="0" collapsed="false">
      <c r="A70" s="14" t="s">
        <v>832</v>
      </c>
      <c r="B70" s="19" t="n">
        <f aca="false">$B$69-$B$15</f>
        <v>0</v>
      </c>
      <c r="C70" s="16" t="s">
        <v>140</v>
      </c>
      <c r="D70" s="20" t="n">
        <v>0</v>
      </c>
      <c r="E70" s="21" t="str">
        <f aca="false">IF(ABS(B70-D70)&lt;=0.5,"OK","DIVERSO")</f>
        <v>OK</v>
      </c>
      <c r="F70" s="16" t="s">
        <v>775</v>
      </c>
    </row>
    <row r="71" customFormat="false" ht="15" hidden="false" customHeight="true" outlineLevel="0" collapsed="false">
      <c r="A71" s="14" t="s">
        <v>833</v>
      </c>
      <c r="B71" s="15" t="n">
        <v>600</v>
      </c>
      <c r="C71" s="16" t="s">
        <v>834</v>
      </c>
      <c r="D71" s="17"/>
      <c r="E71" s="17"/>
      <c r="F71" s="16" t="s">
        <v>775</v>
      </c>
    </row>
    <row r="72" customFormat="false" ht="15" hidden="false" customHeight="true" outlineLevel="0" collapsed="false">
      <c r="A72" s="14" t="s">
        <v>835</v>
      </c>
      <c r="B72" s="15" t="n">
        <v>12000</v>
      </c>
      <c r="C72" s="16" t="s">
        <v>384</v>
      </c>
      <c r="D72" s="17"/>
      <c r="E72" s="17"/>
      <c r="F72" s="16" t="s">
        <v>775</v>
      </c>
    </row>
    <row r="73" customFormat="false" ht="15" hidden="false" customHeight="true" outlineLevel="0" collapsed="false">
      <c r="A73" s="14" t="s">
        <v>836</v>
      </c>
      <c r="B73" s="15" t="n">
        <v>3000</v>
      </c>
      <c r="C73" s="16" t="s">
        <v>837</v>
      </c>
      <c r="D73" s="17"/>
      <c r="E73" s="17"/>
      <c r="F73" s="16" t="s">
        <v>775</v>
      </c>
    </row>
    <row r="74" customFormat="false" ht="15" hidden="false" customHeight="true" outlineLevel="0" collapsed="false">
      <c r="A74" s="14" t="s">
        <v>838</v>
      </c>
      <c r="B74" s="15" t="n">
        <v>7000</v>
      </c>
      <c r="C74" s="16" t="s">
        <v>144</v>
      </c>
      <c r="D74" s="17"/>
      <c r="E74" s="17"/>
      <c r="F74" s="16" t="s">
        <v>775</v>
      </c>
    </row>
    <row r="75" customFormat="false" ht="15" hidden="false" customHeight="true" outlineLevel="0" collapsed="false">
      <c r="A75" s="14" t="s">
        <v>839</v>
      </c>
      <c r="B75" s="19" t="n">
        <f aca="false">$B$65/$B$71</f>
        <v>300</v>
      </c>
      <c r="C75" s="16" t="s">
        <v>840</v>
      </c>
      <c r="D75" s="20" t="n">
        <v>300</v>
      </c>
      <c r="E75" s="21" t="str">
        <f aca="false">IF(ABS(B75-D75)&lt;=0.5,"OK","DIVERSO")</f>
        <v>OK</v>
      </c>
      <c r="F75" s="16" t="s">
        <v>775</v>
      </c>
    </row>
    <row r="76" customFormat="false" ht="15" hidden="false" customHeight="true" outlineLevel="0" collapsed="false">
      <c r="A76" s="14" t="s">
        <v>841</v>
      </c>
      <c r="B76" s="19" t="n">
        <f aca="false">$B$66/$B$72</f>
        <v>20</v>
      </c>
      <c r="C76" s="16" t="s">
        <v>842</v>
      </c>
      <c r="D76" s="20" t="n">
        <v>20</v>
      </c>
      <c r="E76" s="21" t="str">
        <f aca="false">IF(ABS(B76-D76)&lt;=0.5,"OK","DIVERSO")</f>
        <v>OK</v>
      </c>
      <c r="F76" s="16" t="s">
        <v>775</v>
      </c>
    </row>
    <row r="77" customFormat="false" ht="15" hidden="false" customHeight="true" outlineLevel="0" collapsed="false">
      <c r="A77" s="14" t="s">
        <v>843</v>
      </c>
      <c r="B77" s="19" t="n">
        <f aca="false">$B$67/$B$73</f>
        <v>50</v>
      </c>
      <c r="C77" s="16" t="s">
        <v>844</v>
      </c>
      <c r="D77" s="20" t="n">
        <v>50</v>
      </c>
      <c r="E77" s="21" t="str">
        <f aca="false">IF(ABS(B77-D77)&lt;=0.5,"OK","DIVERSO")</f>
        <v>OK</v>
      </c>
      <c r="F77" s="16" t="s">
        <v>775</v>
      </c>
    </row>
    <row r="78" customFormat="false" ht="15" hidden="false" customHeight="true" outlineLevel="0" collapsed="false">
      <c r="A78" s="14" t="s">
        <v>845</v>
      </c>
      <c r="B78" s="19" t="n">
        <f aca="false">$B$68/$B$74</f>
        <v>30</v>
      </c>
      <c r="C78" s="16" t="s">
        <v>146</v>
      </c>
      <c r="D78" s="20" t="n">
        <v>30</v>
      </c>
      <c r="E78" s="21" t="str">
        <f aca="false">IF(ABS(B78-D78)&lt;=0.5,"OK","DIVERSO")</f>
        <v>OK</v>
      </c>
      <c r="F78" s="16" t="s">
        <v>775</v>
      </c>
    </row>
    <row r="79" customFormat="false" ht="15" hidden="false" customHeight="true" outlineLevel="0" collapsed="false">
      <c r="A79" s="14" t="s">
        <v>846</v>
      </c>
      <c r="B79" s="26" t="n">
        <f aca="false">$B$9/$B$15</f>
        <v>0.615384615384615</v>
      </c>
      <c r="C79" s="16" t="s">
        <v>319</v>
      </c>
      <c r="D79" s="17"/>
      <c r="E79" s="17"/>
      <c r="F79" s="16" t="s">
        <v>775</v>
      </c>
    </row>
    <row r="80" customFormat="false" ht="15" hidden="false" customHeight="true" outlineLevel="0" collapsed="false"/>
    <row r="81" customFormat="false" ht="15" hidden="false" customHeight="true" outlineLevel="0" collapsed="false">
      <c r="A81" s="13" t="s">
        <v>847</v>
      </c>
      <c r="B81" s="13"/>
      <c r="C81" s="13"/>
      <c r="D81" s="13"/>
      <c r="E81" s="13"/>
      <c r="F81" s="13"/>
    </row>
    <row r="82" customFormat="false" ht="15" hidden="false" customHeight="true" outlineLevel="0" collapsed="false">
      <c r="A82" s="22" t="s">
        <v>848</v>
      </c>
      <c r="B82" s="22"/>
      <c r="C82" s="22"/>
      <c r="D82" s="22"/>
      <c r="E82" s="22"/>
      <c r="F82" s="22"/>
    </row>
    <row r="83" customFormat="false" ht="15" hidden="false" customHeight="true" outlineLevel="0" collapsed="false">
      <c r="A83" s="6" t="s">
        <v>116</v>
      </c>
      <c r="B83" s="6" t="s">
        <v>117</v>
      </c>
      <c r="C83" s="6" t="s">
        <v>118</v>
      </c>
      <c r="D83" s="6" t="s">
        <v>119</v>
      </c>
      <c r="E83" s="6" t="s">
        <v>120</v>
      </c>
      <c r="F83" s="6" t="s">
        <v>121</v>
      </c>
    </row>
    <row r="84" customFormat="false" ht="15" hidden="false" customHeight="true" outlineLevel="0" collapsed="false">
      <c r="A84" s="14" t="s">
        <v>849</v>
      </c>
      <c r="B84" s="15" t="n">
        <v>80</v>
      </c>
      <c r="C84" s="16" t="s">
        <v>834</v>
      </c>
      <c r="D84" s="17"/>
      <c r="E84" s="17"/>
      <c r="F84" s="16" t="s">
        <v>775</v>
      </c>
    </row>
    <row r="85" customFormat="false" ht="15" hidden="false" customHeight="true" outlineLevel="0" collapsed="false">
      <c r="A85" s="14" t="s">
        <v>850</v>
      </c>
      <c r="B85" s="15" t="n">
        <v>220</v>
      </c>
      <c r="C85" s="16" t="s">
        <v>834</v>
      </c>
      <c r="D85" s="17"/>
      <c r="E85" s="17"/>
      <c r="F85" s="16" t="s">
        <v>775</v>
      </c>
    </row>
    <row r="86" customFormat="false" ht="15" hidden="false" customHeight="true" outlineLevel="0" collapsed="false">
      <c r="A86" s="14" t="s">
        <v>851</v>
      </c>
      <c r="B86" s="19" t="n">
        <f aca="false">$B$84*$B$75</f>
        <v>24000</v>
      </c>
      <c r="C86" s="16" t="s">
        <v>140</v>
      </c>
      <c r="D86" s="20" t="n">
        <v>24000</v>
      </c>
      <c r="E86" s="21" t="str">
        <f aca="false">IF(ABS(B86-D86)&lt;=0.5,"OK","DIVERSO")</f>
        <v>OK</v>
      </c>
      <c r="F86" s="16" t="s">
        <v>775</v>
      </c>
    </row>
    <row r="87" customFormat="false" ht="15" hidden="false" customHeight="true" outlineLevel="0" collapsed="false">
      <c r="A87" s="14" t="s">
        <v>852</v>
      </c>
      <c r="B87" s="19" t="n">
        <f aca="false">$B$85*$B$75</f>
        <v>66000</v>
      </c>
      <c r="C87" s="16" t="s">
        <v>140</v>
      </c>
      <c r="D87" s="20" t="n">
        <v>66000</v>
      </c>
      <c r="E87" s="21" t="str">
        <f aca="false">IF(ABS(B87-D87)&lt;=0.5,"OK","DIVERSO")</f>
        <v>OK</v>
      </c>
      <c r="F87" s="16" t="s">
        <v>775</v>
      </c>
    </row>
    <row r="88" customFormat="false" ht="15" hidden="false" customHeight="true" outlineLevel="0" collapsed="false">
      <c r="A88" s="14" t="s">
        <v>853</v>
      </c>
      <c r="B88" s="19" t="n">
        <f aca="false">$B$65-$B$86-$B$87</f>
        <v>90000</v>
      </c>
      <c r="C88" s="16" t="s">
        <v>140</v>
      </c>
      <c r="D88" s="17"/>
      <c r="E88" s="17"/>
      <c r="F88" s="16" t="s">
        <v>775</v>
      </c>
    </row>
    <row r="89" customFormat="false" ht="15" hidden="false" customHeight="true" outlineLevel="0" collapsed="false"/>
    <row r="90" customFormat="false" ht="15" hidden="false" customHeight="true" outlineLevel="0" collapsed="false">
      <c r="A90" s="13" t="s">
        <v>854</v>
      </c>
      <c r="B90" s="13"/>
      <c r="C90" s="13"/>
      <c r="D90" s="13"/>
      <c r="E90" s="13"/>
      <c r="F90" s="13"/>
    </row>
    <row r="91" customFormat="false" ht="15" hidden="false" customHeight="true" outlineLevel="0" collapsed="false">
      <c r="A91" s="22" t="s">
        <v>855</v>
      </c>
      <c r="B91" s="22"/>
      <c r="C91" s="22"/>
      <c r="D91" s="22"/>
      <c r="E91" s="22"/>
      <c r="F91" s="22"/>
    </row>
    <row r="92" customFormat="false" ht="15" hidden="false" customHeight="true" outlineLevel="0" collapsed="false">
      <c r="A92" s="6" t="s">
        <v>116</v>
      </c>
      <c r="B92" s="6" t="s">
        <v>117</v>
      </c>
      <c r="C92" s="6" t="s">
        <v>118</v>
      </c>
      <c r="D92" s="6" t="s">
        <v>119</v>
      </c>
      <c r="E92" s="6" t="s">
        <v>120</v>
      </c>
      <c r="F92" s="6" t="s">
        <v>121</v>
      </c>
    </row>
    <row r="93" customFormat="false" ht="15" hidden="false" customHeight="true" outlineLevel="0" collapsed="false">
      <c r="A93" s="14" t="s">
        <v>856</v>
      </c>
      <c r="B93" s="15" t="n">
        <v>360000</v>
      </c>
      <c r="C93" s="16" t="s">
        <v>140</v>
      </c>
      <c r="D93" s="17"/>
      <c r="E93" s="17"/>
      <c r="F93" s="16" t="s">
        <v>775</v>
      </c>
    </row>
    <row r="94" customFormat="false" ht="15" hidden="false" customHeight="true" outlineLevel="0" collapsed="false">
      <c r="A94" s="14" t="s">
        <v>857</v>
      </c>
      <c r="B94" s="15" t="n">
        <v>600000</v>
      </c>
      <c r="C94" s="16" t="s">
        <v>858</v>
      </c>
      <c r="D94" s="17"/>
      <c r="E94" s="17"/>
      <c r="F94" s="16" t="s">
        <v>775</v>
      </c>
    </row>
    <row r="95" customFormat="false" ht="15" hidden="false" customHeight="true" outlineLevel="0" collapsed="false">
      <c r="A95" s="14" t="s">
        <v>859</v>
      </c>
      <c r="B95" s="23" t="n">
        <f aca="false">$B$93/$B$94</f>
        <v>0.6</v>
      </c>
      <c r="C95" s="16" t="s">
        <v>860</v>
      </c>
      <c r="D95" s="24" t="n">
        <v>0.6</v>
      </c>
      <c r="E95" s="21" t="str">
        <f aca="false">IF(ABS(B95-D95)&lt;=0.005,"OK","DIVERSO")</f>
        <v>OK</v>
      </c>
      <c r="F95" s="16" t="s">
        <v>775</v>
      </c>
    </row>
    <row r="96" customFormat="false" ht="15" hidden="false" customHeight="true" outlineLevel="0" collapsed="false">
      <c r="A96" s="14" t="s">
        <v>861</v>
      </c>
      <c r="B96" s="15" t="n">
        <v>8</v>
      </c>
      <c r="C96" s="16" t="s">
        <v>862</v>
      </c>
      <c r="D96" s="17"/>
      <c r="E96" s="17"/>
      <c r="F96" s="16" t="s">
        <v>775</v>
      </c>
    </row>
    <row r="97" customFormat="false" ht="15" hidden="false" customHeight="true" outlineLevel="0" collapsed="false">
      <c r="A97" s="14" t="s">
        <v>863</v>
      </c>
      <c r="B97" s="23" t="n">
        <f aca="false">$B$96*$B$95</f>
        <v>4.8</v>
      </c>
      <c r="C97" s="16" t="s">
        <v>842</v>
      </c>
      <c r="D97" s="24" t="n">
        <v>4.8</v>
      </c>
      <c r="E97" s="21" t="str">
        <f aca="false">IF(ABS(B97-D97)&lt;=0.005,"OK","DIVERSO")</f>
        <v>OK</v>
      </c>
      <c r="F97" s="16" t="s">
        <v>775</v>
      </c>
    </row>
    <row r="98" customFormat="false" ht="15" hidden="false" customHeight="true" outlineLevel="0" collapsed="false">
      <c r="A98" s="14" t="s">
        <v>864</v>
      </c>
      <c r="B98" s="15" t="n">
        <v>12</v>
      </c>
      <c r="C98" s="16" t="s">
        <v>862</v>
      </c>
      <c r="D98" s="17"/>
      <c r="E98" s="17"/>
      <c r="F98" s="16" t="s">
        <v>775</v>
      </c>
    </row>
    <row r="99" customFormat="false" ht="15" hidden="false" customHeight="true" outlineLevel="0" collapsed="false">
      <c r="A99" s="14" t="s">
        <v>865</v>
      </c>
      <c r="B99" s="19" t="n">
        <f aca="false">$B$96+$B$98</f>
        <v>20</v>
      </c>
      <c r="C99" s="16" t="s">
        <v>862</v>
      </c>
      <c r="D99" s="20" t="n">
        <v>20</v>
      </c>
      <c r="E99" s="21" t="str">
        <f aca="false">IF(ABS(B99-D99)&lt;=0.5,"OK","DIVERSO")</f>
        <v>OK</v>
      </c>
      <c r="F99" s="16" t="s">
        <v>775</v>
      </c>
    </row>
    <row r="100" customFormat="false" ht="15" hidden="false" customHeight="true" outlineLevel="0" collapsed="false">
      <c r="A100" s="14" t="s">
        <v>866</v>
      </c>
      <c r="B100" s="23" t="n">
        <f aca="false">$B$99*$B$95</f>
        <v>12</v>
      </c>
      <c r="C100" s="16" t="s">
        <v>842</v>
      </c>
      <c r="D100" s="24" t="n">
        <v>12</v>
      </c>
      <c r="E100" s="21" t="str">
        <f aca="false">IF(ABS(B100-D100)&lt;=0.005,"OK","DIVERSO")</f>
        <v>OK</v>
      </c>
      <c r="F100" s="16" t="s">
        <v>775</v>
      </c>
    </row>
    <row r="101" customFormat="false" ht="15" hidden="false" customHeight="true" outlineLevel="0" collapsed="false"/>
    <row r="102" customFormat="false" ht="15" hidden="false" customHeight="true" outlineLevel="0" collapsed="false">
      <c r="A102" s="13" t="s">
        <v>867</v>
      </c>
      <c r="B102" s="13"/>
      <c r="C102" s="13"/>
      <c r="D102" s="13"/>
      <c r="E102" s="13"/>
      <c r="F102" s="13"/>
    </row>
    <row r="103" customFormat="false" ht="15" hidden="false" customHeight="true" outlineLevel="0" collapsed="false">
      <c r="A103" s="22" t="s">
        <v>868</v>
      </c>
      <c r="B103" s="22"/>
      <c r="C103" s="22"/>
      <c r="D103" s="22"/>
      <c r="E103" s="22"/>
      <c r="F103" s="22"/>
    </row>
    <row r="104" customFormat="false" ht="15" hidden="false" customHeight="true" outlineLevel="0" collapsed="false">
      <c r="A104" s="6" t="s">
        <v>116</v>
      </c>
      <c r="B104" s="6" t="s">
        <v>117</v>
      </c>
      <c r="C104" s="6" t="s">
        <v>118</v>
      </c>
      <c r="D104" s="6" t="s">
        <v>119</v>
      </c>
      <c r="E104" s="6" t="s">
        <v>120</v>
      </c>
      <c r="F104" s="6" t="s">
        <v>121</v>
      </c>
    </row>
    <row r="105" customFormat="false" ht="15" hidden="false" customHeight="true" outlineLevel="0" collapsed="false">
      <c r="A105" s="14" t="s">
        <v>869</v>
      </c>
      <c r="B105" s="15" t="n">
        <v>300000</v>
      </c>
      <c r="C105" s="16" t="s">
        <v>140</v>
      </c>
      <c r="D105" s="17"/>
      <c r="E105" s="17"/>
      <c r="F105" s="16" t="s">
        <v>775</v>
      </c>
    </row>
    <row r="106" customFormat="false" ht="15" hidden="false" customHeight="true" outlineLevel="0" collapsed="false">
      <c r="A106" s="14" t="s">
        <v>870</v>
      </c>
      <c r="B106" s="25" t="n">
        <v>0.7</v>
      </c>
      <c r="C106" s="16" t="s">
        <v>319</v>
      </c>
      <c r="D106" s="17"/>
      <c r="E106" s="17"/>
      <c r="F106" s="16" t="s">
        <v>775</v>
      </c>
    </row>
    <row r="107" customFormat="false" ht="15" hidden="false" customHeight="true" outlineLevel="0" collapsed="false">
      <c r="A107" s="14" t="s">
        <v>871</v>
      </c>
      <c r="B107" s="19" t="n">
        <f aca="false">$B$105*$B$106</f>
        <v>210000</v>
      </c>
      <c r="C107" s="16" t="s">
        <v>140</v>
      </c>
      <c r="D107" s="20" t="n">
        <v>210000</v>
      </c>
      <c r="E107" s="21" t="str">
        <f aca="false">IF(ABS(B107-D107)&lt;=0.5,"OK","DIVERSO")</f>
        <v>OK</v>
      </c>
      <c r="F107" s="16" t="s">
        <v>775</v>
      </c>
    </row>
    <row r="108" customFormat="false" ht="15" hidden="false" customHeight="true" outlineLevel="0" collapsed="false">
      <c r="A108" s="14" t="s">
        <v>872</v>
      </c>
      <c r="B108" s="19" t="n">
        <f aca="false">$B$105*(1-$B$106)</f>
        <v>90000</v>
      </c>
      <c r="C108" s="16" t="s">
        <v>140</v>
      </c>
      <c r="D108" s="20" t="n">
        <v>90000</v>
      </c>
      <c r="E108" s="21" t="str">
        <f aca="false">IF(ABS(B108-D108)&lt;=0.5,"OK","DIVERSO")</f>
        <v>OK</v>
      </c>
      <c r="F108" s="16" t="s">
        <v>775</v>
      </c>
    </row>
    <row r="109" customFormat="false" ht="15" hidden="false" customHeight="true" outlineLevel="0" collapsed="false">
      <c r="A109" s="14" t="s">
        <v>873</v>
      </c>
      <c r="B109" s="15" t="n">
        <v>120000</v>
      </c>
      <c r="C109" s="16" t="s">
        <v>140</v>
      </c>
      <c r="D109" s="17"/>
      <c r="E109" s="17"/>
      <c r="F109" s="16" t="s">
        <v>775</v>
      </c>
    </row>
    <row r="110" customFormat="false" ht="15" hidden="false" customHeight="true" outlineLevel="0" collapsed="false">
      <c r="A110" s="14" t="s">
        <v>827</v>
      </c>
      <c r="B110" s="15" t="n">
        <v>100000</v>
      </c>
      <c r="C110" s="16" t="s">
        <v>140</v>
      </c>
      <c r="D110" s="17"/>
      <c r="E110" s="17"/>
      <c r="F110" s="16" t="s">
        <v>775</v>
      </c>
    </row>
    <row r="111" customFormat="false" ht="15" hidden="false" customHeight="true" outlineLevel="0" collapsed="false">
      <c r="A111" s="14" t="s">
        <v>874</v>
      </c>
      <c r="B111" s="15" t="n">
        <v>80000</v>
      </c>
      <c r="C111" s="16" t="s">
        <v>140</v>
      </c>
      <c r="D111" s="17"/>
      <c r="E111" s="17"/>
      <c r="F111" s="16" t="s">
        <v>775</v>
      </c>
    </row>
    <row r="112" customFormat="false" ht="15" hidden="false" customHeight="true" outlineLevel="0" collapsed="false">
      <c r="A112" s="14" t="s">
        <v>875</v>
      </c>
      <c r="B112" s="25" t="n">
        <v>0.2</v>
      </c>
      <c r="C112" s="16" t="s">
        <v>319</v>
      </c>
      <c r="D112" s="17"/>
      <c r="E112" s="17"/>
      <c r="F112" s="16" t="s">
        <v>775</v>
      </c>
    </row>
    <row r="113" customFormat="false" ht="15" hidden="false" customHeight="true" outlineLevel="0" collapsed="false">
      <c r="A113" s="14" t="s">
        <v>876</v>
      </c>
      <c r="B113" s="25" t="n">
        <v>0.25</v>
      </c>
      <c r="C113" s="16" t="s">
        <v>319</v>
      </c>
      <c r="D113" s="17"/>
      <c r="E113" s="17"/>
      <c r="F113" s="16" t="s">
        <v>775</v>
      </c>
    </row>
    <row r="114" customFormat="false" ht="15" hidden="false" customHeight="true" outlineLevel="0" collapsed="false">
      <c r="A114" s="14" t="s">
        <v>877</v>
      </c>
      <c r="B114" s="19" t="n">
        <f aca="false">$B$109*$B$106</f>
        <v>84000</v>
      </c>
      <c r="C114" s="16" t="s">
        <v>140</v>
      </c>
      <c r="D114" s="20" t="n">
        <v>84000</v>
      </c>
      <c r="E114" s="21" t="str">
        <f aca="false">IF(ABS(B114-D114)&lt;=0.5,"OK","DIVERSO")</f>
        <v>OK</v>
      </c>
      <c r="F114" s="16" t="s">
        <v>775</v>
      </c>
    </row>
    <row r="115" customFormat="false" ht="15" hidden="false" customHeight="true" outlineLevel="0" collapsed="false">
      <c r="A115" s="14" t="s">
        <v>878</v>
      </c>
      <c r="B115" s="19" t="n">
        <f aca="false">$B$110*$B$112</f>
        <v>20000</v>
      </c>
      <c r="C115" s="16" t="s">
        <v>140</v>
      </c>
      <c r="D115" s="20" t="n">
        <v>20000</v>
      </c>
      <c r="E115" s="21" t="str">
        <f aca="false">IF(ABS(B115-D115)&lt;=0.5,"OK","DIVERSO")</f>
        <v>OK</v>
      </c>
      <c r="F115" s="16" t="s">
        <v>775</v>
      </c>
    </row>
    <row r="116" customFormat="false" ht="15" hidden="false" customHeight="true" outlineLevel="0" collapsed="false">
      <c r="A116" s="14" t="s">
        <v>879</v>
      </c>
      <c r="B116" s="19" t="n">
        <f aca="false">$B$111*$B$113</f>
        <v>20000</v>
      </c>
      <c r="C116" s="16" t="s">
        <v>140</v>
      </c>
      <c r="D116" s="20" t="n">
        <v>20000</v>
      </c>
      <c r="E116" s="21" t="str">
        <f aca="false">IF(ABS(B116-D116)&lt;=0.5,"OK","DIVERSO")</f>
        <v>OK</v>
      </c>
      <c r="F116" s="16" t="s">
        <v>775</v>
      </c>
    </row>
    <row r="117" customFormat="false" ht="15" hidden="false" customHeight="true" outlineLevel="0" collapsed="false">
      <c r="A117" s="14" t="s">
        <v>880</v>
      </c>
      <c r="B117" s="19" t="n">
        <f aca="false">$B$114+$B$115+$B$116</f>
        <v>124000</v>
      </c>
      <c r="C117" s="16" t="s">
        <v>140</v>
      </c>
      <c r="D117" s="20" t="n">
        <v>124000</v>
      </c>
      <c r="E117" s="21" t="str">
        <f aca="false">IF(ABS(B117-D117)&lt;=0.5,"OK","DIVERSO")</f>
        <v>OK</v>
      </c>
      <c r="F117" s="16" t="s">
        <v>775</v>
      </c>
    </row>
    <row r="118" customFormat="false" ht="15" hidden="false" customHeight="true" outlineLevel="0" collapsed="false">
      <c r="A118" s="14" t="s">
        <v>881</v>
      </c>
      <c r="B118" s="19" t="n">
        <f aca="false">$B$109*(1-$B$106)</f>
        <v>36000</v>
      </c>
      <c r="C118" s="16" t="s">
        <v>140</v>
      </c>
      <c r="D118" s="20" t="n">
        <v>36000</v>
      </c>
      <c r="E118" s="21" t="str">
        <f aca="false">IF(ABS(B118-D118)&lt;=0.5,"OK","DIVERSO")</f>
        <v>OK</v>
      </c>
      <c r="F118" s="16" t="s">
        <v>775</v>
      </c>
    </row>
    <row r="119" customFormat="false" ht="15" hidden="false" customHeight="true" outlineLevel="0" collapsed="false">
      <c r="A119" s="14" t="s">
        <v>882</v>
      </c>
      <c r="B119" s="19" t="n">
        <f aca="false">$B$110*(1-$B$112)</f>
        <v>80000</v>
      </c>
      <c r="C119" s="16" t="s">
        <v>140</v>
      </c>
      <c r="D119" s="20" t="n">
        <v>80000</v>
      </c>
      <c r="E119" s="21" t="str">
        <f aca="false">IF(ABS(B119-D119)&lt;=0.5,"OK","DIVERSO")</f>
        <v>OK</v>
      </c>
      <c r="F119" s="16" t="s">
        <v>775</v>
      </c>
    </row>
    <row r="120" customFormat="false" ht="15" hidden="false" customHeight="true" outlineLevel="0" collapsed="false">
      <c r="A120" s="14" t="s">
        <v>883</v>
      </c>
      <c r="B120" s="19" t="n">
        <f aca="false">$B$111*(1-$B$113)</f>
        <v>60000</v>
      </c>
      <c r="C120" s="16" t="s">
        <v>140</v>
      </c>
      <c r="D120" s="20" t="n">
        <v>60000</v>
      </c>
      <c r="E120" s="21" t="str">
        <f aca="false">IF(ABS(B120-D120)&lt;=0.5,"OK","DIVERSO")</f>
        <v>OK</v>
      </c>
      <c r="F120" s="16" t="s">
        <v>775</v>
      </c>
    </row>
    <row r="121" customFormat="false" ht="15" hidden="false" customHeight="true" outlineLevel="0" collapsed="false">
      <c r="A121" s="14" t="s">
        <v>884</v>
      </c>
      <c r="B121" s="19" t="n">
        <f aca="false">$B$118+$B$119+$B$120</f>
        <v>176000</v>
      </c>
      <c r="C121" s="16" t="s">
        <v>140</v>
      </c>
      <c r="D121" s="20" t="n">
        <v>176000</v>
      </c>
      <c r="E121" s="21" t="str">
        <f aca="false">IF(ABS(B121-D121)&lt;=0.5,"OK","DIVERSO")</f>
        <v>OK</v>
      </c>
      <c r="F121" s="16" t="s">
        <v>775</v>
      </c>
    </row>
    <row r="122" customFormat="false" ht="15" hidden="false" customHeight="true" outlineLevel="0" collapsed="false">
      <c r="A122" s="14" t="s">
        <v>885</v>
      </c>
      <c r="B122" s="19" t="n">
        <f aca="false">$B$117-$B$107</f>
        <v>-86000</v>
      </c>
      <c r="C122" s="16" t="s">
        <v>140</v>
      </c>
      <c r="D122" s="20" t="n">
        <v>-86000</v>
      </c>
      <c r="E122" s="21" t="str">
        <f aca="false">IF(ABS(B122-D122)&lt;=0.5,"OK","DIVERSO")</f>
        <v>OK</v>
      </c>
      <c r="F122" s="16" t="s">
        <v>775</v>
      </c>
    </row>
    <row r="123" customFormat="false" ht="15" hidden="false" customHeight="true" outlineLevel="0" collapsed="false">
      <c r="A123" s="14" t="s">
        <v>886</v>
      </c>
      <c r="B123" s="19" t="n">
        <f aca="false">$B$121-$B$108</f>
        <v>86000</v>
      </c>
      <c r="C123" s="16" t="s">
        <v>140</v>
      </c>
      <c r="D123" s="20" t="n">
        <v>86000</v>
      </c>
      <c r="E123" s="21" t="str">
        <f aca="false">IF(ABS(B123-D123)&lt;=0.5,"OK","DIVERSO")</f>
        <v>OK</v>
      </c>
      <c r="F123" s="16" t="s">
        <v>775</v>
      </c>
    </row>
    <row r="124" customFormat="false" ht="15" hidden="false" customHeight="true" outlineLevel="0" collapsed="false">
      <c r="A124" s="14" t="s">
        <v>887</v>
      </c>
      <c r="B124" s="19" t="n">
        <f aca="false">$B$122+$B$123</f>
        <v>0</v>
      </c>
      <c r="C124" s="16" t="s">
        <v>140</v>
      </c>
      <c r="D124" s="20" t="n">
        <v>0</v>
      </c>
      <c r="E124" s="21" t="str">
        <f aca="false">IF(ABS(B124-D124)&lt;=0.5,"OK","DIVERSO")</f>
        <v>OK</v>
      </c>
      <c r="F124" s="16" t="s">
        <v>775</v>
      </c>
    </row>
    <row r="125" customFormat="false" ht="15" hidden="false" customHeight="true" outlineLevel="0" collapsed="false"/>
    <row r="126" customFormat="false" ht="15" hidden="false" customHeight="true" outlineLevel="0" collapsed="false">
      <c r="A126" s="13" t="s">
        <v>888</v>
      </c>
      <c r="B126" s="13"/>
      <c r="C126" s="13"/>
      <c r="D126" s="13"/>
      <c r="E126" s="13"/>
      <c r="F126" s="13"/>
    </row>
    <row r="127" customFormat="false" ht="15" hidden="false" customHeight="true" outlineLevel="0" collapsed="false">
      <c r="A127" s="22" t="s">
        <v>889</v>
      </c>
      <c r="B127" s="22"/>
      <c r="C127" s="22"/>
      <c r="D127" s="22"/>
      <c r="E127" s="22"/>
      <c r="F127" s="22"/>
    </row>
    <row r="128" customFormat="false" ht="15" hidden="false" customHeight="true" outlineLevel="0" collapsed="false">
      <c r="A128" s="6" t="s">
        <v>116</v>
      </c>
      <c r="B128" s="6" t="s">
        <v>117</v>
      </c>
      <c r="C128" s="6" t="s">
        <v>118</v>
      </c>
      <c r="D128" s="6" t="s">
        <v>119</v>
      </c>
      <c r="E128" s="6" t="s">
        <v>120</v>
      </c>
      <c r="F128" s="6" t="s">
        <v>121</v>
      </c>
    </row>
    <row r="129" customFormat="false" ht="15" hidden="false" customHeight="true" outlineLevel="0" collapsed="false">
      <c r="A129" s="14" t="s">
        <v>890</v>
      </c>
      <c r="B129" s="19" t="n">
        <f aca="false">Cap_02!$B$18</f>
        <v>186000</v>
      </c>
      <c r="C129" s="16" t="s">
        <v>140</v>
      </c>
      <c r="D129" s="17"/>
      <c r="E129" s="17"/>
      <c r="F129" s="16" t="s">
        <v>775</v>
      </c>
    </row>
    <row r="130" customFormat="false" ht="15" hidden="false" customHeight="true" outlineLevel="0" collapsed="false">
      <c r="A130" s="14" t="s">
        <v>891</v>
      </c>
      <c r="B130" s="19" t="n">
        <f aca="false">Cap_02!$B$19</f>
        <v>54000</v>
      </c>
      <c r="C130" s="16" t="s">
        <v>140</v>
      </c>
      <c r="D130" s="17"/>
      <c r="E130" s="17"/>
      <c r="F130" s="16" t="s">
        <v>775</v>
      </c>
    </row>
    <row r="131" customFormat="false" ht="15" hidden="false" customHeight="true" outlineLevel="0" collapsed="false">
      <c r="A131" s="14" t="s">
        <v>828</v>
      </c>
      <c r="B131" s="19" t="n">
        <f aca="false">$B$129+$B$130</f>
        <v>240000</v>
      </c>
      <c r="C131" s="16" t="s">
        <v>140</v>
      </c>
      <c r="D131" s="20" t="n">
        <v>240000</v>
      </c>
      <c r="E131" s="21" t="str">
        <f aca="false">IF(ABS(B131-D131)&lt;=0.5,"OK","DIVERSO")</f>
        <v>OK</v>
      </c>
      <c r="F131" s="16" t="s">
        <v>775</v>
      </c>
    </row>
    <row r="132" customFormat="false" ht="15" hidden="false" customHeight="true" outlineLevel="0" collapsed="false">
      <c r="A132" s="14" t="s">
        <v>892</v>
      </c>
      <c r="B132" s="19" t="n">
        <f aca="false">Cap_02!$B$22</f>
        <v>138000</v>
      </c>
      <c r="C132" s="16" t="s">
        <v>140</v>
      </c>
      <c r="D132" s="17"/>
      <c r="E132" s="17"/>
      <c r="F132" s="16" t="s">
        <v>775</v>
      </c>
    </row>
    <row r="133" customFormat="false" ht="15" hidden="false" customHeight="true" outlineLevel="0" collapsed="false">
      <c r="A133" s="14" t="s">
        <v>893</v>
      </c>
      <c r="B133" s="19" t="n">
        <f aca="false">Cap_02!$B$21</f>
        <v>42000</v>
      </c>
      <c r="C133" s="16" t="s">
        <v>140</v>
      </c>
      <c r="D133" s="17"/>
      <c r="E133" s="17"/>
      <c r="F133" s="16" t="s">
        <v>775</v>
      </c>
    </row>
    <row r="134" customFormat="false" ht="15" hidden="false" customHeight="true" outlineLevel="0" collapsed="false">
      <c r="A134" s="14" t="s">
        <v>894</v>
      </c>
      <c r="B134" s="19" t="n">
        <f aca="false">$B$132+$B$133</f>
        <v>180000</v>
      </c>
      <c r="C134" s="16" t="s">
        <v>140</v>
      </c>
      <c r="D134" s="20" t="n">
        <v>180000</v>
      </c>
      <c r="E134" s="21" t="str">
        <f aca="false">IF(ABS(B134-D134)&lt;=0.5,"OK","DIVERSO")</f>
        <v>OK</v>
      </c>
      <c r="F134" s="16" t="s">
        <v>775</v>
      </c>
    </row>
    <row r="135" customFormat="false" ht="15" hidden="false" customHeight="true" outlineLevel="0" collapsed="false">
      <c r="A135" s="14" t="s">
        <v>895</v>
      </c>
      <c r="B135" s="19" t="n">
        <f aca="false">Cap_02!$B$24</f>
        <v>118000</v>
      </c>
      <c r="C135" s="16" t="s">
        <v>140</v>
      </c>
      <c r="D135" s="17"/>
      <c r="E135" s="17"/>
      <c r="F135" s="16" t="s">
        <v>775</v>
      </c>
    </row>
    <row r="136" customFormat="false" ht="15" hidden="false" customHeight="true" outlineLevel="0" collapsed="false">
      <c r="A136" s="14" t="s">
        <v>896</v>
      </c>
      <c r="B136" s="19" t="n">
        <f aca="false">Cap_02!$B$25</f>
        <v>32000</v>
      </c>
      <c r="C136" s="16" t="s">
        <v>140</v>
      </c>
      <c r="D136" s="17"/>
      <c r="E136" s="17"/>
      <c r="F136" s="16" t="s">
        <v>775</v>
      </c>
    </row>
    <row r="137" customFormat="false" ht="15" hidden="false" customHeight="true" outlineLevel="0" collapsed="false">
      <c r="A137" s="14" t="s">
        <v>897</v>
      </c>
      <c r="B137" s="19" t="n">
        <f aca="false">$B$135+$B$136</f>
        <v>150000</v>
      </c>
      <c r="C137" s="16" t="s">
        <v>140</v>
      </c>
      <c r="D137" s="20" t="n">
        <v>150000</v>
      </c>
      <c r="E137" s="21" t="str">
        <f aca="false">IF(ABS(B137-D137)&lt;=0.5,"OK","DIVERSO")</f>
        <v>OK</v>
      </c>
      <c r="F137" s="16" t="s">
        <v>775</v>
      </c>
    </row>
    <row r="138" customFormat="false" ht="15" hidden="false" customHeight="true" outlineLevel="0" collapsed="false">
      <c r="A138" s="14" t="s">
        <v>831</v>
      </c>
      <c r="B138" s="19" t="n">
        <f aca="false">$B$131+$B$134+$B$137</f>
        <v>570000</v>
      </c>
      <c r="C138" s="16" t="s">
        <v>140</v>
      </c>
      <c r="D138" s="20" t="n">
        <v>570000</v>
      </c>
      <c r="E138" s="21" t="str">
        <f aca="false">IF(ABS(B138-D138)&lt;=0.5,"OK","DIVERSO")</f>
        <v>OK</v>
      </c>
      <c r="F138" s="16" t="s">
        <v>775</v>
      </c>
    </row>
    <row r="139" customFormat="false" ht="15" hidden="false" customHeight="true" outlineLevel="0" collapsed="false">
      <c r="A139" s="14" t="s">
        <v>898</v>
      </c>
      <c r="B139" s="19" t="n">
        <f aca="false">$B$138-Impresa_guida!$B$23</f>
        <v>0</v>
      </c>
      <c r="C139" s="16" t="s">
        <v>140</v>
      </c>
      <c r="D139" s="20" t="n">
        <v>0</v>
      </c>
      <c r="E139" s="21" t="str">
        <f aca="false">IF(ABS(B139-D139)&lt;=0.5,"OK","DIVERSO")</f>
        <v>OK</v>
      </c>
      <c r="F139" s="16" t="s">
        <v>775</v>
      </c>
    </row>
    <row r="140" customFormat="false" ht="15" hidden="false" customHeight="true" outlineLevel="0" collapsed="false">
      <c r="A140" s="14" t="s">
        <v>899</v>
      </c>
      <c r="B140" s="19" t="n">
        <f aca="false">Impresa_guida!$B$24+Impresa_guida!$B$25+Impresa_guida!$B$39</f>
        <v>250000</v>
      </c>
      <c r="C140" s="16" t="s">
        <v>140</v>
      </c>
      <c r="D140" s="20" t="n">
        <v>250000</v>
      </c>
      <c r="E140" s="21" t="str">
        <f aca="false">IF(ABS(B140-D140)&lt;=0.5,"OK","DIVERSO")</f>
        <v>OK</v>
      </c>
      <c r="F140" s="16" t="s">
        <v>775</v>
      </c>
    </row>
    <row r="141" customFormat="false" ht="15" hidden="false" customHeight="true" outlineLevel="0" collapsed="false">
      <c r="A141" s="14" t="s">
        <v>900</v>
      </c>
      <c r="B141" s="19" t="n">
        <f aca="false">$B$138+$B$140</f>
        <v>820000</v>
      </c>
      <c r="C141" s="16" t="s">
        <v>140</v>
      </c>
      <c r="D141" s="20" t="n">
        <v>820000</v>
      </c>
      <c r="E141" s="21" t="str">
        <f aca="false">IF(ABS(B141-D141)&lt;=0.5,"OK","DIVERSO")</f>
        <v>OK</v>
      </c>
      <c r="F141" s="16" t="s">
        <v>775</v>
      </c>
    </row>
    <row r="142" customFormat="false" ht="15" hidden="false" customHeight="true" outlineLevel="0" collapsed="false"/>
    <row r="143" customFormat="false" ht="15" hidden="false" customHeight="true" outlineLevel="0" collapsed="false">
      <c r="A143" s="13" t="s">
        <v>901</v>
      </c>
      <c r="B143" s="13"/>
      <c r="C143" s="13"/>
      <c r="D143" s="13"/>
      <c r="E143" s="13"/>
      <c r="F143" s="13"/>
    </row>
    <row r="144" customFormat="false" ht="15" hidden="false" customHeight="true" outlineLevel="0" collapsed="false">
      <c r="A144" s="22" t="s">
        <v>902</v>
      </c>
      <c r="B144" s="22"/>
      <c r="C144" s="22"/>
      <c r="D144" s="22"/>
      <c r="E144" s="22"/>
      <c r="F144" s="22"/>
    </row>
    <row r="145" customFormat="false" ht="15" hidden="false" customHeight="true" outlineLevel="0" collapsed="false">
      <c r="A145" s="6" t="s">
        <v>116</v>
      </c>
      <c r="B145" s="6" t="s">
        <v>117</v>
      </c>
      <c r="C145" s="6" t="s">
        <v>118</v>
      </c>
      <c r="D145" s="6" t="s">
        <v>119</v>
      </c>
      <c r="E145" s="6" t="s">
        <v>120</v>
      </c>
      <c r="F145" s="6" t="s">
        <v>121</v>
      </c>
    </row>
    <row r="146" customFormat="false" ht="15" hidden="false" customHeight="true" outlineLevel="0" collapsed="false">
      <c r="A146" s="14" t="s">
        <v>903</v>
      </c>
      <c r="B146" s="19" t="n">
        <f aca="false">Cap_05!$B$34</f>
        <v>12000</v>
      </c>
      <c r="C146" s="16" t="s">
        <v>384</v>
      </c>
      <c r="D146" s="17"/>
      <c r="E146" s="17"/>
      <c r="F146" s="16" t="s">
        <v>775</v>
      </c>
    </row>
    <row r="147" customFormat="false" ht="15" hidden="false" customHeight="true" outlineLevel="0" collapsed="false">
      <c r="A147" s="14" t="s">
        <v>385</v>
      </c>
      <c r="B147" s="19" t="n">
        <f aca="false">Cap_05!$B$36</f>
        <v>6000</v>
      </c>
      <c r="C147" s="16" t="s">
        <v>387</v>
      </c>
      <c r="D147" s="17"/>
      <c r="E147" s="17"/>
      <c r="F147" s="16" t="s">
        <v>775</v>
      </c>
    </row>
    <row r="148" customFormat="false" ht="15" hidden="false" customHeight="true" outlineLevel="0" collapsed="false">
      <c r="A148" s="14" t="s">
        <v>904</v>
      </c>
      <c r="B148" s="19" t="n">
        <f aca="false">Cap_05!$B$38</f>
        <v>7500</v>
      </c>
      <c r="C148" s="16" t="s">
        <v>144</v>
      </c>
      <c r="D148" s="17"/>
      <c r="E148" s="17"/>
      <c r="F148" s="16" t="s">
        <v>775</v>
      </c>
    </row>
    <row r="149" customFormat="false" ht="15" hidden="false" customHeight="true" outlineLevel="0" collapsed="false">
      <c r="A149" s="14" t="s">
        <v>905</v>
      </c>
      <c r="B149" s="19" t="n">
        <f aca="false">$B$131/$B$146</f>
        <v>20</v>
      </c>
      <c r="C149" s="16" t="s">
        <v>842</v>
      </c>
      <c r="D149" s="20" t="n">
        <v>20</v>
      </c>
      <c r="E149" s="21" t="str">
        <f aca="false">IF(ABS(B149-D149)&lt;=0.5,"OK","DIVERSO")</f>
        <v>OK</v>
      </c>
      <c r="F149" s="16" t="s">
        <v>775</v>
      </c>
    </row>
    <row r="150" customFormat="false" ht="15" hidden="false" customHeight="true" outlineLevel="0" collapsed="false">
      <c r="A150" s="14" t="s">
        <v>906</v>
      </c>
      <c r="B150" s="19" t="n">
        <f aca="false">$B$134/$B$147</f>
        <v>30</v>
      </c>
      <c r="C150" s="16" t="s">
        <v>907</v>
      </c>
      <c r="D150" s="20" t="n">
        <v>30</v>
      </c>
      <c r="E150" s="21" t="str">
        <f aca="false">IF(ABS(B150-D150)&lt;=0.5,"OK","DIVERSO")</f>
        <v>OK</v>
      </c>
      <c r="F150" s="16" t="s">
        <v>775</v>
      </c>
    </row>
    <row r="151" customFormat="false" ht="15" hidden="false" customHeight="true" outlineLevel="0" collapsed="false">
      <c r="A151" s="14" t="s">
        <v>908</v>
      </c>
      <c r="B151" s="19" t="n">
        <f aca="false">$B$137/$B$148</f>
        <v>20</v>
      </c>
      <c r="C151" s="16" t="s">
        <v>146</v>
      </c>
      <c r="D151" s="20" t="n">
        <v>20</v>
      </c>
      <c r="E151" s="21" t="str">
        <f aca="false">IF(ABS(B151-D151)&lt;=0.5,"OK","DIVERSO")</f>
        <v>OK</v>
      </c>
      <c r="F151" s="16" t="s">
        <v>775</v>
      </c>
    </row>
    <row r="152" customFormat="false" ht="30" hidden="false" customHeight="true" outlineLevel="0" collapsed="false">
      <c r="A152" s="36" t="s">
        <v>909</v>
      </c>
      <c r="B152" s="37" t="s">
        <v>910</v>
      </c>
      <c r="C152" s="37"/>
      <c r="D152" s="37"/>
      <c r="E152" s="37"/>
      <c r="F152" s="38"/>
    </row>
    <row r="153" customFormat="false" ht="15" hidden="false" customHeight="true" outlineLevel="0" collapsed="false"/>
    <row r="154" customFormat="false" ht="15" hidden="false" customHeight="true" outlineLevel="0" collapsed="false">
      <c r="A154" s="13" t="s">
        <v>911</v>
      </c>
      <c r="B154" s="13"/>
      <c r="C154" s="13"/>
      <c r="D154" s="13"/>
      <c r="E154" s="13"/>
      <c r="F154" s="13"/>
    </row>
    <row r="155" customFormat="false" ht="15" hidden="false" customHeight="true" outlineLevel="0" collapsed="false">
      <c r="A155" s="22" t="s">
        <v>912</v>
      </c>
      <c r="B155" s="22"/>
      <c r="C155" s="22"/>
      <c r="D155" s="22"/>
      <c r="E155" s="22"/>
      <c r="F155" s="22"/>
    </row>
    <row r="156" customFormat="false" ht="15" hidden="false" customHeight="true" outlineLevel="0" collapsed="false">
      <c r="A156" s="6" t="s">
        <v>116</v>
      </c>
      <c r="B156" s="6" t="s">
        <v>117</v>
      </c>
      <c r="C156" s="6" t="s">
        <v>118</v>
      </c>
      <c r="D156" s="6" t="s">
        <v>119</v>
      </c>
      <c r="E156" s="6" t="s">
        <v>120</v>
      </c>
      <c r="F156" s="6" t="s">
        <v>121</v>
      </c>
    </row>
    <row r="157" customFormat="false" ht="15" hidden="false" customHeight="true" outlineLevel="0" collapsed="false">
      <c r="A157" s="14" t="s">
        <v>913</v>
      </c>
      <c r="B157" s="19" t="n">
        <f aca="false">Cap_05!$B$12</f>
        <v>1220000</v>
      </c>
      <c r="C157" s="16" t="s">
        <v>140</v>
      </c>
      <c r="D157" s="17"/>
      <c r="E157" s="17"/>
      <c r="F157" s="16" t="s">
        <v>775</v>
      </c>
    </row>
    <row r="158" customFormat="false" ht="15" hidden="false" customHeight="true" outlineLevel="0" collapsed="false">
      <c r="A158" s="14" t="s">
        <v>914</v>
      </c>
      <c r="B158" s="19" t="n">
        <f aca="false">Impresa_guida!$B$34-$B$157</f>
        <v>2166000</v>
      </c>
      <c r="C158" s="16" t="s">
        <v>140</v>
      </c>
      <c r="D158" s="20" t="n">
        <v>2166000</v>
      </c>
      <c r="E158" s="21" t="str">
        <f aca="false">IF(ABS(B158-D158)&lt;=0.5,"OK","DIVERSO")</f>
        <v>OK</v>
      </c>
      <c r="F158" s="16" t="s">
        <v>775</v>
      </c>
    </row>
    <row r="159" customFormat="false" ht="15" hidden="false" customHeight="true" outlineLevel="0" collapsed="false">
      <c r="A159" s="14" t="s">
        <v>915</v>
      </c>
      <c r="B159" s="15" t="n">
        <v>6000</v>
      </c>
      <c r="C159" s="16" t="s">
        <v>384</v>
      </c>
      <c r="D159" s="17"/>
      <c r="E159" s="17"/>
      <c r="F159" s="16" t="s">
        <v>775</v>
      </c>
    </row>
    <row r="160" customFormat="false" ht="15" hidden="false" customHeight="true" outlineLevel="0" collapsed="false">
      <c r="A160" s="14" t="s">
        <v>916</v>
      </c>
      <c r="B160" s="15" t="n">
        <v>3600</v>
      </c>
      <c r="C160" s="16" t="s">
        <v>387</v>
      </c>
      <c r="D160" s="17"/>
      <c r="E160" s="17"/>
      <c r="F160" s="16" t="s">
        <v>775</v>
      </c>
    </row>
    <row r="161" customFormat="false" ht="15" hidden="false" customHeight="true" outlineLevel="0" collapsed="false">
      <c r="A161" s="14" t="s">
        <v>917</v>
      </c>
      <c r="B161" s="15" t="n">
        <v>5250</v>
      </c>
      <c r="C161" s="16" t="s">
        <v>144</v>
      </c>
      <c r="D161" s="17"/>
      <c r="E161" s="17"/>
      <c r="F161" s="16" t="s">
        <v>775</v>
      </c>
    </row>
    <row r="162" customFormat="false" ht="15" hidden="false" customHeight="true" outlineLevel="0" collapsed="false">
      <c r="A162" s="14" t="s">
        <v>918</v>
      </c>
      <c r="B162" s="19" t="n">
        <f aca="false">$B$146-$B$159</f>
        <v>6000</v>
      </c>
      <c r="C162" s="16" t="s">
        <v>384</v>
      </c>
      <c r="D162" s="20" t="n">
        <v>6000</v>
      </c>
      <c r="E162" s="21" t="str">
        <f aca="false">IF(ABS(B162-D162)&lt;=0.5,"OK","DIVERSO")</f>
        <v>OK</v>
      </c>
      <c r="F162" s="16" t="s">
        <v>775</v>
      </c>
    </row>
    <row r="163" customFormat="false" ht="15" hidden="false" customHeight="true" outlineLevel="0" collapsed="false">
      <c r="A163" s="14" t="s">
        <v>919</v>
      </c>
      <c r="B163" s="19" t="n">
        <f aca="false">$B$147-$B$160</f>
        <v>2400</v>
      </c>
      <c r="C163" s="16" t="s">
        <v>387</v>
      </c>
      <c r="D163" s="20" t="n">
        <v>2400</v>
      </c>
      <c r="E163" s="21" t="str">
        <f aca="false">IF(ABS(B163-D163)&lt;=0.5,"OK","DIVERSO")</f>
        <v>OK</v>
      </c>
      <c r="F163" s="16" t="s">
        <v>775</v>
      </c>
    </row>
    <row r="164" customFormat="false" ht="15" hidden="false" customHeight="true" outlineLevel="0" collapsed="false">
      <c r="A164" s="14" t="s">
        <v>920</v>
      </c>
      <c r="B164" s="19" t="n">
        <f aca="false">$B$148-$B$161</f>
        <v>2250</v>
      </c>
      <c r="C164" s="16" t="s">
        <v>144</v>
      </c>
      <c r="D164" s="20" t="n">
        <v>2250</v>
      </c>
      <c r="E164" s="21" t="str">
        <f aca="false">IF(ABS(B164-D164)&lt;=0.5,"OK","DIVERSO")</f>
        <v>OK</v>
      </c>
      <c r="F164" s="16" t="s">
        <v>775</v>
      </c>
    </row>
    <row r="165" customFormat="false" ht="15" hidden="false" customHeight="true" outlineLevel="0" collapsed="false">
      <c r="A165" s="14" t="s">
        <v>921</v>
      </c>
      <c r="B165" s="19" t="n">
        <f aca="false">$B$138*$B$157/Impresa_guida!$B$34</f>
        <v>205375.073833432</v>
      </c>
      <c r="C165" s="16" t="s">
        <v>140</v>
      </c>
      <c r="D165" s="20" t="n">
        <v>205375</v>
      </c>
      <c r="E165" s="21" t="str">
        <f aca="false">IF(ABS(B165-D165)&lt;=0.5,"OK","DIVERSO")</f>
        <v>OK</v>
      </c>
      <c r="F165" s="16" t="s">
        <v>775</v>
      </c>
    </row>
    <row r="166" customFormat="false" ht="15" hidden="false" customHeight="true" outlineLevel="0" collapsed="false">
      <c r="A166" s="14" t="s">
        <v>922</v>
      </c>
      <c r="B166" s="19" t="n">
        <f aca="false">$B$138*$B$158/Impresa_guida!$B$34</f>
        <v>364624.926166568</v>
      </c>
      <c r="C166" s="16" t="s">
        <v>140</v>
      </c>
      <c r="D166" s="20" t="n">
        <v>364625</v>
      </c>
      <c r="E166" s="21" t="str">
        <f aca="false">IF(ABS(B166-D166)&lt;=0.5,"OK","DIVERSO")</f>
        <v>OK</v>
      </c>
      <c r="F166" s="16" t="s">
        <v>775</v>
      </c>
    </row>
    <row r="167" customFormat="false" ht="15" hidden="false" customHeight="true" outlineLevel="0" collapsed="false">
      <c r="A167" s="14" t="s">
        <v>923</v>
      </c>
      <c r="B167" s="19" t="n">
        <f aca="false">$B$159*$B$149+$B$160*$B$150+$B$161*$B$151</f>
        <v>333000</v>
      </c>
      <c r="C167" s="16" t="s">
        <v>140</v>
      </c>
      <c r="D167" s="20" t="n">
        <v>333000</v>
      </c>
      <c r="E167" s="21" t="str">
        <f aca="false">IF(ABS(B167-D167)&lt;=0.5,"OK","DIVERSO")</f>
        <v>OK</v>
      </c>
      <c r="F167" s="16" t="s">
        <v>775</v>
      </c>
    </row>
    <row r="168" customFormat="false" ht="15" hidden="false" customHeight="true" outlineLevel="0" collapsed="false">
      <c r="A168" s="14" t="s">
        <v>924</v>
      </c>
      <c r="B168" s="19" t="n">
        <f aca="false">$B$162*$B$149+$B$163*$B$150+$B$164*$B$151</f>
        <v>237000</v>
      </c>
      <c r="C168" s="16" t="s">
        <v>140</v>
      </c>
      <c r="D168" s="20" t="n">
        <v>237000</v>
      </c>
      <c r="E168" s="21" t="str">
        <f aca="false">IF(ABS(B168-D168)&lt;=0.5,"OK","DIVERSO")</f>
        <v>OK</v>
      </c>
      <c r="F168" s="16" t="s">
        <v>775</v>
      </c>
    </row>
    <row r="169" customFormat="false" ht="15" hidden="false" customHeight="true" outlineLevel="0" collapsed="false">
      <c r="A169" s="14" t="s">
        <v>925</v>
      </c>
      <c r="B169" s="19" t="n">
        <f aca="false">$B$167+$B$168</f>
        <v>570000</v>
      </c>
      <c r="C169" s="16" t="s">
        <v>140</v>
      </c>
      <c r="D169" s="20" t="n">
        <v>570000</v>
      </c>
      <c r="E169" s="21" t="str">
        <f aca="false">IF(ABS(B169-D169)&lt;=0.5,"OK","DIVERSO")</f>
        <v>OK</v>
      </c>
      <c r="F169" s="16" t="s">
        <v>775</v>
      </c>
    </row>
    <row r="170" customFormat="false" ht="15" hidden="false" customHeight="true" outlineLevel="0" collapsed="false">
      <c r="A170" s="14" t="s">
        <v>926</v>
      </c>
      <c r="B170" s="19" t="n">
        <f aca="false">$B$167-$B$165</f>
        <v>127624.926166568</v>
      </c>
      <c r="C170" s="16" t="s">
        <v>140</v>
      </c>
      <c r="D170" s="20" t="n">
        <v>127625</v>
      </c>
      <c r="E170" s="21" t="str">
        <f aca="false">IF(ABS(B170-D170)&lt;=0.5,"OK","DIVERSO")</f>
        <v>OK</v>
      </c>
      <c r="F170" s="16" t="s">
        <v>775</v>
      </c>
    </row>
    <row r="171" customFormat="false" ht="15" hidden="false" customHeight="true" outlineLevel="0" collapsed="false">
      <c r="A171" s="14" t="s">
        <v>927</v>
      </c>
      <c r="B171" s="19" t="n">
        <f aca="false">$B$168-$B$166</f>
        <v>-127624.926166568</v>
      </c>
      <c r="C171" s="16" t="s">
        <v>140</v>
      </c>
      <c r="D171" s="20" t="n">
        <v>-127625</v>
      </c>
      <c r="E171" s="21" t="str">
        <f aca="false">IF(ABS(B171-D171)&lt;=0.5,"OK","DIVERSO")</f>
        <v>OK</v>
      </c>
      <c r="F171" s="16" t="s">
        <v>775</v>
      </c>
    </row>
    <row r="172" customFormat="false" ht="15" hidden="false" customHeight="true" outlineLevel="0" collapsed="false">
      <c r="A172" s="14" t="s">
        <v>887</v>
      </c>
      <c r="B172" s="19" t="n">
        <f aca="false">$B$170+$B$171</f>
        <v>0</v>
      </c>
      <c r="C172" s="16" t="s">
        <v>140</v>
      </c>
      <c r="D172" s="20" t="n">
        <v>0</v>
      </c>
      <c r="E172" s="21" t="str">
        <f aca="false">IF(ABS(B172-D172)&lt;=0.5,"OK","DIVERSO")</f>
        <v>OK</v>
      </c>
      <c r="F172" s="16" t="s">
        <v>775</v>
      </c>
    </row>
    <row r="173" customFormat="false" ht="15" hidden="false" customHeight="true" outlineLevel="0" collapsed="false"/>
    <row r="174" customFormat="false" ht="15" hidden="false" customHeight="true" outlineLevel="0" collapsed="false">
      <c r="A174" s="13" t="s">
        <v>928</v>
      </c>
      <c r="B174" s="13"/>
      <c r="C174" s="13"/>
      <c r="D174" s="13"/>
      <c r="E174" s="13"/>
      <c r="F174" s="13"/>
    </row>
    <row r="175" customFormat="false" ht="15" hidden="false" customHeight="true" outlineLevel="0" collapsed="false">
      <c r="A175" s="22" t="s">
        <v>929</v>
      </c>
      <c r="B175" s="22"/>
      <c r="C175" s="22"/>
      <c r="D175" s="22"/>
      <c r="E175" s="22"/>
      <c r="F175" s="22"/>
    </row>
    <row r="176" customFormat="false" ht="15" hidden="false" customHeight="true" outlineLevel="0" collapsed="false">
      <c r="A176" s="6" t="s">
        <v>116</v>
      </c>
      <c r="B176" s="6" t="s">
        <v>117</v>
      </c>
      <c r="C176" s="6" t="s">
        <v>118</v>
      </c>
      <c r="D176" s="6" t="s">
        <v>119</v>
      </c>
      <c r="E176" s="6" t="s">
        <v>120</v>
      </c>
      <c r="F176" s="6" t="s">
        <v>121</v>
      </c>
    </row>
    <row r="177" customFormat="false" ht="15" hidden="false" customHeight="true" outlineLevel="0" collapsed="false">
      <c r="A177" s="14" t="s">
        <v>930</v>
      </c>
      <c r="B177" s="26" t="n">
        <f aca="false">$B$157/Impresa_guida!$B$34</f>
        <v>0.360307147076196</v>
      </c>
      <c r="C177" s="16" t="s">
        <v>319</v>
      </c>
      <c r="D177" s="27" t="n">
        <v>0.36</v>
      </c>
      <c r="E177" s="21" t="str">
        <f aca="false">IF(ABS(B177-D177)&lt;=0.0005,"OK","DIVERSO")</f>
        <v>OK</v>
      </c>
      <c r="F177" s="16" t="s">
        <v>775</v>
      </c>
    </row>
    <row r="178" customFormat="false" ht="15" hidden="false" customHeight="true" outlineLevel="0" collapsed="false">
      <c r="A178" s="14" t="s">
        <v>931</v>
      </c>
      <c r="B178" s="26" t="n">
        <f aca="false">$B$159/$B$146</f>
        <v>0.5</v>
      </c>
      <c r="C178" s="16" t="s">
        <v>319</v>
      </c>
      <c r="D178" s="27" t="n">
        <v>0.5</v>
      </c>
      <c r="E178" s="21" t="str">
        <f aca="false">IF(ABS(B178-D178)&lt;=0.0005,"OK","DIVERSO")</f>
        <v>OK</v>
      </c>
      <c r="F178" s="16" t="s">
        <v>775</v>
      </c>
    </row>
    <row r="179" customFormat="false" ht="15" hidden="false" customHeight="true" outlineLevel="0" collapsed="false">
      <c r="A179" s="14" t="s">
        <v>932</v>
      </c>
      <c r="B179" s="26" t="n">
        <f aca="false">$B$160/$B$147</f>
        <v>0.6</v>
      </c>
      <c r="C179" s="16" t="s">
        <v>319</v>
      </c>
      <c r="D179" s="27" t="n">
        <v>0.6</v>
      </c>
      <c r="E179" s="21" t="str">
        <f aca="false">IF(ABS(B179-D179)&lt;=0.0005,"OK","DIVERSO")</f>
        <v>OK</v>
      </c>
      <c r="F179" s="16" t="s">
        <v>775</v>
      </c>
    </row>
    <row r="180" customFormat="false" ht="15" hidden="false" customHeight="true" outlineLevel="0" collapsed="false">
      <c r="A180" s="14" t="s">
        <v>933</v>
      </c>
      <c r="B180" s="26" t="n">
        <f aca="false">$B$161/$B$148</f>
        <v>0.7</v>
      </c>
      <c r="C180" s="16" t="s">
        <v>319</v>
      </c>
      <c r="D180" s="27" t="n">
        <v>0.7</v>
      </c>
      <c r="E180" s="21" t="str">
        <f aca="false">IF(ABS(B180-D180)&lt;=0.0005,"OK","DIVERSO")</f>
        <v>OK</v>
      </c>
      <c r="F180" s="16" t="s">
        <v>775</v>
      </c>
    </row>
    <row r="181" customFormat="false" ht="15" hidden="false" customHeight="true" outlineLevel="0" collapsed="false">
      <c r="A181" s="14" t="s">
        <v>934</v>
      </c>
      <c r="B181" s="19" t="n">
        <f aca="false">$B$157/$B$159</f>
        <v>203.333333333333</v>
      </c>
      <c r="C181" s="16" t="s">
        <v>842</v>
      </c>
      <c r="D181" s="20" t="n">
        <v>203</v>
      </c>
      <c r="E181" s="21" t="str">
        <f aca="false">IF(ABS(B181-D181)&lt;=0.5,"OK","DIVERSO")</f>
        <v>OK</v>
      </c>
      <c r="F181" s="16" t="s">
        <v>775</v>
      </c>
    </row>
    <row r="182" customFormat="false" ht="15" hidden="false" customHeight="true" outlineLevel="0" collapsed="false">
      <c r="A182" s="14" t="s">
        <v>935</v>
      </c>
      <c r="B182" s="19" t="n">
        <f aca="false">$B$158/$B$162</f>
        <v>361</v>
      </c>
      <c r="C182" s="16" t="s">
        <v>842</v>
      </c>
      <c r="D182" s="20" t="n">
        <v>361</v>
      </c>
      <c r="E182" s="21" t="str">
        <f aca="false">IF(ABS(B182-D182)&lt;=0.5,"OK","DIVERSO")</f>
        <v>OK</v>
      </c>
      <c r="F182" s="16" t="s">
        <v>775</v>
      </c>
    </row>
  </sheetData>
  <mergeCells count="25">
    <mergeCell ref="A1:F1"/>
    <mergeCell ref="A4:F4"/>
    <mergeCell ref="A6:F6"/>
    <mergeCell ref="A7:F7"/>
    <mergeCell ref="A17:F17"/>
    <mergeCell ref="A18:F18"/>
    <mergeCell ref="A39:F39"/>
    <mergeCell ref="A40:F40"/>
    <mergeCell ref="A62:F62"/>
    <mergeCell ref="A63:F63"/>
    <mergeCell ref="A81:F81"/>
    <mergeCell ref="A82:F82"/>
    <mergeCell ref="A90:F90"/>
    <mergeCell ref="A91:F91"/>
    <mergeCell ref="A102:F102"/>
    <mergeCell ref="A103:F103"/>
    <mergeCell ref="A126:F126"/>
    <mergeCell ref="A127:F127"/>
    <mergeCell ref="A143:F143"/>
    <mergeCell ref="A144:F144"/>
    <mergeCell ref="B152:E152"/>
    <mergeCell ref="A154:F154"/>
    <mergeCell ref="A155:F155"/>
    <mergeCell ref="A174:F174"/>
    <mergeCell ref="A175:F1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47</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936</v>
      </c>
      <c r="B4" s="5"/>
      <c r="C4" s="5"/>
      <c r="D4" s="5"/>
      <c r="E4" s="5"/>
      <c r="F4" s="5"/>
    </row>
    <row r="5" customFormat="false" ht="15" hidden="false" customHeight="true" outlineLevel="0" collapsed="false"/>
    <row r="6" customFormat="false" ht="15" hidden="false" customHeight="true" outlineLevel="0" collapsed="false">
      <c r="A6" s="13" t="s">
        <v>937</v>
      </c>
      <c r="B6" s="13"/>
      <c r="C6" s="13"/>
      <c r="D6" s="13"/>
      <c r="E6" s="13"/>
      <c r="F6" s="13"/>
    </row>
    <row r="7" customFormat="false" ht="15" hidden="false" customHeight="true" outlineLevel="0" collapsed="false">
      <c r="A7" s="22" t="s">
        <v>938</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939</v>
      </c>
      <c r="B9" s="15" t="n">
        <v>10000</v>
      </c>
      <c r="C9" s="16" t="s">
        <v>384</v>
      </c>
      <c r="D9" s="17"/>
      <c r="E9" s="17"/>
      <c r="F9" s="16" t="s">
        <v>940</v>
      </c>
    </row>
    <row r="10" customFormat="false" ht="15" hidden="false" customHeight="true" outlineLevel="0" collapsed="false">
      <c r="A10" s="14" t="s">
        <v>941</v>
      </c>
      <c r="B10" s="15" t="n">
        <v>8000</v>
      </c>
      <c r="C10" s="16" t="s">
        <v>384</v>
      </c>
      <c r="D10" s="17"/>
      <c r="E10" s="17"/>
      <c r="F10" s="16" t="s">
        <v>940</v>
      </c>
    </row>
    <row r="11" customFormat="false" ht="15" hidden="false" customHeight="true" outlineLevel="0" collapsed="false">
      <c r="A11" s="14" t="s">
        <v>909</v>
      </c>
      <c r="B11" s="19" t="n">
        <f aca="false">$B$9-$B$10</f>
        <v>2000</v>
      </c>
      <c r="C11" s="16" t="s">
        <v>384</v>
      </c>
      <c r="D11" s="17"/>
      <c r="E11" s="17"/>
      <c r="F11" s="16" t="s">
        <v>940</v>
      </c>
    </row>
    <row r="12" customFormat="false" ht="15" hidden="false" customHeight="true" outlineLevel="0" collapsed="false">
      <c r="A12" s="14" t="s">
        <v>942</v>
      </c>
      <c r="B12" s="26" t="n">
        <f aca="false">$B$11/$B$9</f>
        <v>0.2</v>
      </c>
      <c r="C12" s="16" t="s">
        <v>319</v>
      </c>
      <c r="D12" s="17"/>
      <c r="E12" s="17"/>
      <c r="F12" s="16" t="s">
        <v>940</v>
      </c>
    </row>
    <row r="13" customFormat="false" ht="15" hidden="false" customHeight="true" outlineLevel="0" collapsed="false"/>
    <row r="14" customFormat="false" ht="15" hidden="false" customHeight="true" outlineLevel="0" collapsed="false">
      <c r="A14" s="13" t="s">
        <v>943</v>
      </c>
      <c r="B14" s="13"/>
      <c r="C14" s="13"/>
      <c r="D14" s="13"/>
      <c r="E14" s="13"/>
      <c r="F14" s="13"/>
    </row>
    <row r="15" customFormat="false" ht="15" hidden="false" customHeight="true" outlineLevel="0" collapsed="false">
      <c r="A15" s="22" t="s">
        <v>944</v>
      </c>
      <c r="B15" s="22"/>
      <c r="C15" s="22"/>
      <c r="D15" s="22"/>
      <c r="E15" s="22"/>
      <c r="F15" s="22"/>
    </row>
    <row r="16" customFormat="false" ht="15" hidden="false" customHeight="true" outlineLevel="0" collapsed="false">
      <c r="A16" s="6" t="s">
        <v>116</v>
      </c>
      <c r="B16" s="6" t="s">
        <v>117</v>
      </c>
      <c r="C16" s="6" t="s">
        <v>118</v>
      </c>
      <c r="D16" s="6" t="s">
        <v>119</v>
      </c>
      <c r="E16" s="6" t="s">
        <v>120</v>
      </c>
      <c r="F16" s="6" t="s">
        <v>121</v>
      </c>
    </row>
    <row r="17" customFormat="false" ht="15" hidden="false" customHeight="true" outlineLevel="0" collapsed="false">
      <c r="A17" s="14" t="s">
        <v>945</v>
      </c>
      <c r="B17" s="15" t="n">
        <v>0</v>
      </c>
      <c r="C17" s="16" t="s">
        <v>842</v>
      </c>
      <c r="D17" s="17"/>
      <c r="E17" s="17"/>
      <c r="F17" s="16" t="s">
        <v>940</v>
      </c>
    </row>
    <row r="18" customFormat="false" ht="15" hidden="false" customHeight="true" outlineLevel="0" collapsed="false">
      <c r="A18" s="14" t="s">
        <v>946</v>
      </c>
      <c r="B18" s="19" t="n">
        <f aca="false">Cap_10!$B$131-$B$17*Cap_10!$B$146</f>
        <v>240000</v>
      </c>
      <c r="C18" s="16" t="s">
        <v>140</v>
      </c>
      <c r="D18" s="20" t="n">
        <v>240000</v>
      </c>
      <c r="E18" s="21" t="str">
        <f aca="false">IF(ABS(B18-D18)&lt;=0.5,"OK","DIVERSO")</f>
        <v>OK</v>
      </c>
      <c r="F18" s="16" t="s">
        <v>940</v>
      </c>
    </row>
    <row r="19" customFormat="false" ht="15" hidden="false" customHeight="true" outlineLevel="0" collapsed="false">
      <c r="A19" s="14" t="s">
        <v>947</v>
      </c>
      <c r="B19" s="19" t="n">
        <f aca="false">Cap_10!$B$132/Cap_10!$B$147</f>
        <v>23</v>
      </c>
      <c r="C19" s="16" t="s">
        <v>907</v>
      </c>
      <c r="D19" s="20" t="n">
        <v>23</v>
      </c>
      <c r="E19" s="21" t="str">
        <f aca="false">IF(ABS(B19-D19)&lt;=0.5,"OK","DIVERSO")</f>
        <v>OK</v>
      </c>
      <c r="F19" s="16" t="s">
        <v>940</v>
      </c>
    </row>
    <row r="20" customFormat="false" ht="15" hidden="false" customHeight="true" outlineLevel="0" collapsed="false">
      <c r="A20" s="14" t="s">
        <v>948</v>
      </c>
      <c r="B20" s="19" t="n">
        <f aca="false">Cap_10!$B$133/Cap_10!$B$147</f>
        <v>7</v>
      </c>
      <c r="C20" s="16" t="s">
        <v>907</v>
      </c>
      <c r="D20" s="20" t="n">
        <v>7</v>
      </c>
      <c r="E20" s="21" t="str">
        <f aca="false">IF(ABS(B20-D20)&lt;=0.5,"OK","DIVERSO")</f>
        <v>OK</v>
      </c>
      <c r="F20" s="16" t="s">
        <v>940</v>
      </c>
    </row>
    <row r="21" customFormat="false" ht="15" hidden="false" customHeight="true" outlineLevel="0" collapsed="false">
      <c r="A21" s="14" t="s">
        <v>949</v>
      </c>
      <c r="B21" s="19" t="n">
        <f aca="false">$B$19+$B$20-Cap_10!$B$150</f>
        <v>0</v>
      </c>
      <c r="C21" s="16" t="s">
        <v>907</v>
      </c>
      <c r="D21" s="20" t="n">
        <v>0</v>
      </c>
      <c r="E21" s="21" t="str">
        <f aca="false">IF(ABS(B21-D21)&lt;=0.5,"OK","DIVERSO")</f>
        <v>OK</v>
      </c>
      <c r="F21" s="16" t="s">
        <v>940</v>
      </c>
    </row>
    <row r="22" customFormat="false" ht="15" hidden="false" customHeight="true" outlineLevel="0" collapsed="false">
      <c r="A22" s="14" t="s">
        <v>950</v>
      </c>
      <c r="B22" s="19" t="n">
        <f aca="false">Cap_10!$B$135</f>
        <v>118000</v>
      </c>
      <c r="C22" s="16" t="s">
        <v>140</v>
      </c>
      <c r="D22" s="20" t="n">
        <v>118000</v>
      </c>
      <c r="E22" s="21" t="str">
        <f aca="false">IF(ABS(B22-D22)&lt;=0.5,"OK","DIVERSO")</f>
        <v>OK</v>
      </c>
      <c r="F22" s="16" t="s">
        <v>940</v>
      </c>
    </row>
    <row r="23" customFormat="false" ht="30" hidden="false" customHeight="true" outlineLevel="0" collapsed="false">
      <c r="A23" s="36" t="s">
        <v>951</v>
      </c>
      <c r="B23" s="37" t="s">
        <v>952</v>
      </c>
      <c r="C23" s="37"/>
      <c r="D23" s="37"/>
      <c r="E23" s="37"/>
      <c r="F23" s="38"/>
    </row>
    <row r="24" customFormat="false" ht="15" hidden="false" customHeight="true" outlineLevel="0" collapsed="false"/>
    <row r="25" customFormat="false" ht="15" hidden="false" customHeight="true" outlineLevel="0" collapsed="false">
      <c r="A25" s="13" t="s">
        <v>953</v>
      </c>
      <c r="B25" s="13"/>
      <c r="C25" s="13"/>
      <c r="D25" s="13"/>
      <c r="E25" s="13"/>
      <c r="F25" s="13"/>
    </row>
    <row r="26" customFormat="false" ht="15" hidden="false" customHeight="true" outlineLevel="0" collapsed="false">
      <c r="A26" s="22" t="s">
        <v>954</v>
      </c>
      <c r="B26" s="22"/>
      <c r="C26" s="22"/>
      <c r="D26" s="22"/>
      <c r="E26" s="22"/>
      <c r="F26" s="22"/>
    </row>
    <row r="27" customFormat="false" ht="15" hidden="false" customHeight="true" outlineLevel="0" collapsed="false">
      <c r="A27" s="6" t="s">
        <v>116</v>
      </c>
      <c r="B27" s="6" t="s">
        <v>117</v>
      </c>
      <c r="C27" s="6" t="s">
        <v>118</v>
      </c>
      <c r="D27" s="6" t="s">
        <v>119</v>
      </c>
      <c r="E27" s="6" t="s">
        <v>120</v>
      </c>
      <c r="F27" s="6" t="s">
        <v>121</v>
      </c>
    </row>
    <row r="28" customFormat="false" ht="15" hidden="false" customHeight="true" outlineLevel="0" collapsed="false">
      <c r="A28" s="14" t="s">
        <v>955</v>
      </c>
      <c r="B28" s="15" t="n">
        <v>240000</v>
      </c>
      <c r="C28" s="16" t="s">
        <v>140</v>
      </c>
      <c r="D28" s="17"/>
      <c r="E28" s="17"/>
      <c r="F28" s="16" t="s">
        <v>940</v>
      </c>
    </row>
    <row r="29" customFormat="false" ht="15" hidden="false" customHeight="true" outlineLevel="0" collapsed="false">
      <c r="A29" s="14" t="s">
        <v>956</v>
      </c>
      <c r="B29" s="15" t="n">
        <v>84000</v>
      </c>
      <c r="C29" s="16" t="s">
        <v>140</v>
      </c>
      <c r="D29" s="17"/>
      <c r="E29" s="17"/>
      <c r="F29" s="16" t="s">
        <v>940</v>
      </c>
    </row>
    <row r="30" customFormat="false" ht="15" hidden="false" customHeight="true" outlineLevel="0" collapsed="false">
      <c r="A30" s="14" t="s">
        <v>957</v>
      </c>
      <c r="B30" s="15" t="n">
        <v>600</v>
      </c>
      <c r="C30" s="16" t="s">
        <v>384</v>
      </c>
      <c r="D30" s="17"/>
      <c r="E30" s="17"/>
      <c r="F30" s="16" t="s">
        <v>940</v>
      </c>
    </row>
    <row r="31" customFormat="false" ht="15" hidden="false" customHeight="true" outlineLevel="0" collapsed="false">
      <c r="A31" s="14" t="s">
        <v>958</v>
      </c>
      <c r="B31" s="15" t="n">
        <v>300</v>
      </c>
      <c r="C31" s="16" t="s">
        <v>387</v>
      </c>
      <c r="D31" s="17"/>
      <c r="E31" s="17"/>
      <c r="F31" s="16" t="s">
        <v>940</v>
      </c>
    </row>
    <row r="32" customFormat="false" ht="15" hidden="false" customHeight="true" outlineLevel="0" collapsed="false">
      <c r="A32" s="14" t="s">
        <v>959</v>
      </c>
      <c r="B32" s="15" t="n">
        <v>250</v>
      </c>
      <c r="C32" s="16" t="s">
        <v>144</v>
      </c>
      <c r="D32" s="17"/>
      <c r="E32" s="17"/>
      <c r="F32" s="16" t="s">
        <v>940</v>
      </c>
    </row>
    <row r="33" customFormat="false" ht="15" hidden="false" customHeight="true" outlineLevel="0" collapsed="false">
      <c r="A33" s="14" t="s">
        <v>960</v>
      </c>
      <c r="B33" s="19" t="n">
        <f aca="false">$B$30*Cap_10!$B$149+$B$31*Cap_10!$B$150+$B$32*Cap_10!$B$151</f>
        <v>26000</v>
      </c>
      <c r="C33" s="16" t="s">
        <v>140</v>
      </c>
      <c r="D33" s="20" t="n">
        <v>26000</v>
      </c>
      <c r="E33" s="21" t="str">
        <f aca="false">IF(ABS(B33-D33)&lt;=0.5,"OK","DIVERSO")</f>
        <v>OK</v>
      </c>
      <c r="F33" s="16" t="s">
        <v>940</v>
      </c>
    </row>
    <row r="34" customFormat="false" ht="15" hidden="false" customHeight="true" outlineLevel="0" collapsed="false">
      <c r="A34" s="14" t="s">
        <v>961</v>
      </c>
      <c r="B34" s="19" t="n">
        <f aca="false">$B$29-$B$33</f>
        <v>58000</v>
      </c>
      <c r="C34" s="16" t="s">
        <v>140</v>
      </c>
      <c r="D34" s="20" t="n">
        <v>58000</v>
      </c>
      <c r="E34" s="21" t="str">
        <f aca="false">IF(ABS(B34-D34)&lt;=0.5,"OK","DIVERSO")</f>
        <v>OK</v>
      </c>
      <c r="F34" s="16" t="s">
        <v>940</v>
      </c>
    </row>
    <row r="35" customFormat="false" ht="15" hidden="false" customHeight="true" outlineLevel="0" collapsed="false">
      <c r="A35" s="14" t="s">
        <v>962</v>
      </c>
      <c r="B35" s="26" t="n">
        <f aca="false">$B$34/$B$28</f>
        <v>0.241666666666667</v>
      </c>
      <c r="C35" s="16" t="s">
        <v>319</v>
      </c>
      <c r="D35" s="27" t="n">
        <v>0.242</v>
      </c>
      <c r="E35" s="21" t="str">
        <f aca="false">IF(ABS(B35-D35)&lt;=0.0005,"OK","DIVERSO")</f>
        <v>OK</v>
      </c>
      <c r="F35" s="16" t="s">
        <v>940</v>
      </c>
    </row>
    <row r="36" customFormat="false" ht="15" hidden="false" customHeight="true" outlineLevel="0" collapsed="false">
      <c r="A36" s="14" t="s">
        <v>963</v>
      </c>
      <c r="B36" s="15" t="n">
        <v>150</v>
      </c>
      <c r="C36" s="16" t="s">
        <v>384</v>
      </c>
      <c r="D36" s="17"/>
      <c r="E36" s="17"/>
      <c r="F36" s="16" t="s">
        <v>940</v>
      </c>
    </row>
    <row r="37" customFormat="false" ht="15" hidden="false" customHeight="true" outlineLevel="0" collapsed="false">
      <c r="A37" s="14" t="s">
        <v>964</v>
      </c>
      <c r="B37" s="15" t="n">
        <v>60</v>
      </c>
      <c r="C37" s="16" t="s">
        <v>387</v>
      </c>
      <c r="D37" s="17"/>
      <c r="E37" s="17"/>
      <c r="F37" s="16" t="s">
        <v>940</v>
      </c>
    </row>
    <row r="38" customFormat="false" ht="15" hidden="false" customHeight="true" outlineLevel="0" collapsed="false">
      <c r="A38" s="14" t="s">
        <v>965</v>
      </c>
      <c r="B38" s="15" t="n">
        <v>40</v>
      </c>
      <c r="C38" s="16" t="s">
        <v>144</v>
      </c>
      <c r="D38" s="17"/>
      <c r="E38" s="17"/>
      <c r="F38" s="16" t="s">
        <v>940</v>
      </c>
    </row>
    <row r="39" customFormat="false" ht="15" hidden="false" customHeight="true" outlineLevel="0" collapsed="false">
      <c r="A39" s="14" t="s">
        <v>966</v>
      </c>
      <c r="B39" s="19" t="n">
        <f aca="false">$B$36*Cap_10!$B$149+$B$37*Cap_10!$B$150+$B$38*Cap_10!$B$151</f>
        <v>5600</v>
      </c>
      <c r="C39" s="16" t="s">
        <v>140</v>
      </c>
      <c r="D39" s="20" t="n">
        <v>5600</v>
      </c>
      <c r="E39" s="21" t="str">
        <f aca="false">IF(ABS(B39-D39)&lt;=0.5,"OK","DIVERSO")</f>
        <v>OK</v>
      </c>
      <c r="F39" s="16" t="s">
        <v>940</v>
      </c>
    </row>
    <row r="40" customFormat="false" ht="15" hidden="false" customHeight="true" outlineLevel="0" collapsed="false">
      <c r="A40" s="14" t="s">
        <v>967</v>
      </c>
      <c r="B40" s="19" t="n">
        <f aca="false">$B$29-$B$39</f>
        <v>78400</v>
      </c>
      <c r="C40" s="16" t="s">
        <v>140</v>
      </c>
      <c r="D40" s="20" t="n">
        <v>78400</v>
      </c>
      <c r="E40" s="21" t="str">
        <f aca="false">IF(ABS(B40-D40)&lt;=0.5,"OK","DIVERSO")</f>
        <v>OK</v>
      </c>
      <c r="F40" s="16" t="s">
        <v>940</v>
      </c>
    </row>
    <row r="41" customFormat="false" ht="15" hidden="false" customHeight="true" outlineLevel="0" collapsed="false">
      <c r="A41" s="14" t="s">
        <v>968</v>
      </c>
      <c r="B41" s="26" t="n">
        <f aca="false">$B$40/$B$28</f>
        <v>0.326666666666667</v>
      </c>
      <c r="C41" s="16" t="s">
        <v>319</v>
      </c>
      <c r="D41" s="27" t="n">
        <v>0.327</v>
      </c>
      <c r="E41" s="21" t="str">
        <f aca="false">IF(ABS(B41-D41)&lt;=0.0005,"OK","DIVERSO")</f>
        <v>OK</v>
      </c>
      <c r="F41" s="16" t="s">
        <v>940</v>
      </c>
    </row>
    <row r="42" customFormat="false" ht="15" hidden="false" customHeight="true" outlineLevel="0" collapsed="false"/>
    <row r="43" customFormat="false" ht="15" hidden="false" customHeight="true" outlineLevel="0" collapsed="false">
      <c r="A43" s="13" t="s">
        <v>969</v>
      </c>
      <c r="B43" s="13"/>
      <c r="C43" s="13"/>
      <c r="D43" s="13"/>
      <c r="E43" s="13"/>
      <c r="F43" s="13"/>
    </row>
    <row r="44" customFormat="false" ht="15" hidden="false" customHeight="true" outlineLevel="0" collapsed="false">
      <c r="A44" s="22" t="s">
        <v>970</v>
      </c>
      <c r="B44" s="22"/>
      <c r="C44" s="22"/>
      <c r="D44" s="22"/>
      <c r="E44" s="22"/>
      <c r="F44" s="22"/>
    </row>
    <row r="45" customFormat="false" ht="15" hidden="false" customHeight="true" outlineLevel="0" collapsed="false">
      <c r="A45" s="6" t="s">
        <v>116</v>
      </c>
      <c r="B45" s="6" t="s">
        <v>117</v>
      </c>
      <c r="C45" s="6" t="s">
        <v>118</v>
      </c>
      <c r="D45" s="6" t="s">
        <v>119</v>
      </c>
      <c r="E45" s="6" t="s">
        <v>120</v>
      </c>
      <c r="F45" s="6" t="s">
        <v>121</v>
      </c>
    </row>
    <row r="46" customFormat="false" ht="15" hidden="false" customHeight="true" outlineLevel="0" collapsed="false">
      <c r="A46" s="14" t="s">
        <v>971</v>
      </c>
      <c r="B46" s="15" t="n">
        <v>300</v>
      </c>
      <c r="C46" s="16" t="s">
        <v>384</v>
      </c>
      <c r="D46" s="17"/>
      <c r="E46" s="17"/>
      <c r="F46" s="16" t="s">
        <v>940</v>
      </c>
    </row>
    <row r="47" customFormat="false" ht="15" hidden="false" customHeight="true" outlineLevel="0" collapsed="false">
      <c r="A47" s="14" t="s">
        <v>972</v>
      </c>
      <c r="B47" s="15" t="n">
        <v>24</v>
      </c>
      <c r="C47" s="16" t="s">
        <v>387</v>
      </c>
      <c r="D47" s="17"/>
      <c r="E47" s="17"/>
      <c r="F47" s="16" t="s">
        <v>940</v>
      </c>
    </row>
    <row r="48" customFormat="false" ht="15" hidden="false" customHeight="true" outlineLevel="0" collapsed="false">
      <c r="A48" s="14" t="s">
        <v>973</v>
      </c>
      <c r="B48" s="19" t="n">
        <f aca="false">$B$32</f>
        <v>250</v>
      </c>
      <c r="C48" s="16" t="s">
        <v>144</v>
      </c>
      <c r="D48" s="20" t="n">
        <v>250</v>
      </c>
      <c r="E48" s="21" t="str">
        <f aca="false">IF(ABS(B48-D48)&lt;=0.5,"OK","DIVERSO")</f>
        <v>OK</v>
      </c>
      <c r="F48" s="16" t="s">
        <v>940</v>
      </c>
    </row>
    <row r="49" customFormat="false" ht="15" hidden="false" customHeight="true" outlineLevel="0" collapsed="false">
      <c r="A49" s="14" t="s">
        <v>974</v>
      </c>
      <c r="B49" s="19" t="n">
        <f aca="false">$B$30-$B$46</f>
        <v>300</v>
      </c>
      <c r="C49" s="16" t="s">
        <v>384</v>
      </c>
      <c r="D49" s="20" t="n">
        <v>300</v>
      </c>
      <c r="E49" s="21" t="str">
        <f aca="false">IF(ABS(B49-D49)&lt;=0.5,"OK","DIVERSO")</f>
        <v>OK</v>
      </c>
      <c r="F49" s="16" t="s">
        <v>940</v>
      </c>
    </row>
    <row r="50" customFormat="false" ht="15" hidden="false" customHeight="true" outlineLevel="0" collapsed="false">
      <c r="A50" s="14" t="s">
        <v>975</v>
      </c>
      <c r="B50" s="19" t="n">
        <f aca="false">$B$31-$B$47</f>
        <v>276</v>
      </c>
      <c r="C50" s="16" t="s">
        <v>387</v>
      </c>
      <c r="D50" s="20" t="n">
        <v>276</v>
      </c>
      <c r="E50" s="21" t="str">
        <f aca="false">IF(ABS(B50-D50)&lt;=0.5,"OK","DIVERSO")</f>
        <v>OK</v>
      </c>
      <c r="F50" s="16" t="s">
        <v>940</v>
      </c>
    </row>
    <row r="51" customFormat="false" ht="15" hidden="false" customHeight="true" outlineLevel="0" collapsed="false">
      <c r="A51" s="14" t="s">
        <v>976</v>
      </c>
      <c r="B51" s="19" t="n">
        <f aca="false">$B$32-$B$48</f>
        <v>0</v>
      </c>
      <c r="C51" s="16" t="s">
        <v>144</v>
      </c>
      <c r="D51" s="20" t="n">
        <v>0</v>
      </c>
      <c r="E51" s="21" t="str">
        <f aca="false">IF(ABS(B51-D51)&lt;=0.5,"OK","DIVERSO")</f>
        <v>OK</v>
      </c>
      <c r="F51" s="16" t="s">
        <v>940</v>
      </c>
    </row>
    <row r="52" customFormat="false" ht="15" hidden="false" customHeight="true" outlineLevel="0" collapsed="false">
      <c r="A52" s="14" t="s">
        <v>977</v>
      </c>
      <c r="B52" s="19" t="n">
        <f aca="false">$B$49*Cap_10!$B$149</f>
        <v>6000</v>
      </c>
      <c r="C52" s="16" t="s">
        <v>140</v>
      </c>
      <c r="D52" s="20" t="n">
        <v>6000</v>
      </c>
      <c r="E52" s="21" t="str">
        <f aca="false">IF(ABS(B52-D52)&lt;=0.5,"OK","DIVERSO")</f>
        <v>OK</v>
      </c>
      <c r="F52" s="16" t="s">
        <v>940</v>
      </c>
    </row>
    <row r="53" customFormat="false" ht="15" hidden="false" customHeight="true" outlineLevel="0" collapsed="false">
      <c r="A53" s="14" t="s">
        <v>978</v>
      </c>
      <c r="B53" s="19" t="n">
        <f aca="false">$B$49*$B$17</f>
        <v>0</v>
      </c>
      <c r="C53" s="16" t="s">
        <v>140</v>
      </c>
      <c r="D53" s="20" t="n">
        <v>0</v>
      </c>
      <c r="E53" s="21" t="str">
        <f aca="false">IF(ABS(B53-D53)&lt;=0.5,"OK","DIVERSO")</f>
        <v>OK</v>
      </c>
      <c r="F53" s="16" t="s">
        <v>940</v>
      </c>
    </row>
    <row r="54" customFormat="false" ht="15" hidden="false" customHeight="true" outlineLevel="0" collapsed="false">
      <c r="A54" s="14" t="s">
        <v>979</v>
      </c>
      <c r="B54" s="19" t="n">
        <f aca="false">$B$52-$B$53</f>
        <v>6000</v>
      </c>
      <c r="C54" s="16" t="s">
        <v>140</v>
      </c>
      <c r="D54" s="20" t="n">
        <v>6000</v>
      </c>
      <c r="E54" s="21" t="str">
        <f aca="false">IF(ABS(B54-D54)&lt;=0.5,"OK","DIVERSO")</f>
        <v>OK</v>
      </c>
      <c r="F54" s="16" t="s">
        <v>940</v>
      </c>
    </row>
    <row r="55" customFormat="false" ht="15" hidden="false" customHeight="true" outlineLevel="0" collapsed="false">
      <c r="A55" s="14" t="s">
        <v>980</v>
      </c>
      <c r="B55" s="19" t="n">
        <f aca="false">$B$50*Cap_10!$B$150</f>
        <v>8280</v>
      </c>
      <c r="C55" s="16" t="s">
        <v>140</v>
      </c>
      <c r="D55" s="20" t="n">
        <v>8280</v>
      </c>
      <c r="E55" s="21" t="str">
        <f aca="false">IF(ABS(B55-D55)&lt;=0.5,"OK","DIVERSO")</f>
        <v>OK</v>
      </c>
      <c r="F55" s="16" t="s">
        <v>940</v>
      </c>
    </row>
    <row r="56" customFormat="false" ht="15" hidden="false" customHeight="true" outlineLevel="0" collapsed="false">
      <c r="A56" s="14" t="s">
        <v>981</v>
      </c>
      <c r="B56" s="19" t="n">
        <f aca="false">$B$50*$B$19</f>
        <v>6348</v>
      </c>
      <c r="C56" s="16" t="s">
        <v>140</v>
      </c>
      <c r="D56" s="20" t="n">
        <v>6348</v>
      </c>
      <c r="E56" s="21" t="str">
        <f aca="false">IF(ABS(B56-D56)&lt;=0.5,"OK","DIVERSO")</f>
        <v>OK</v>
      </c>
      <c r="F56" s="16" t="s">
        <v>940</v>
      </c>
    </row>
    <row r="57" customFormat="false" ht="15" hidden="false" customHeight="true" outlineLevel="0" collapsed="false">
      <c r="A57" s="14" t="s">
        <v>982</v>
      </c>
      <c r="B57" s="19" t="n">
        <f aca="false">$B$55-$B$56</f>
        <v>1932</v>
      </c>
      <c r="C57" s="16" t="s">
        <v>140</v>
      </c>
      <c r="D57" s="20" t="n">
        <v>1932</v>
      </c>
      <c r="E57" s="21" t="str">
        <f aca="false">IF(ABS(B57-D57)&lt;=0.5,"OK","DIVERSO")</f>
        <v>OK</v>
      </c>
      <c r="F57" s="16" t="s">
        <v>940</v>
      </c>
    </row>
    <row r="58" customFormat="false" ht="15" hidden="false" customHeight="true" outlineLevel="0" collapsed="false">
      <c r="A58" s="14" t="s">
        <v>983</v>
      </c>
      <c r="B58" s="19" t="n">
        <f aca="false">$B$51*Cap_10!$B$151</f>
        <v>0</v>
      </c>
      <c r="C58" s="16" t="s">
        <v>140</v>
      </c>
      <c r="D58" s="20" t="n">
        <v>0</v>
      </c>
      <c r="E58" s="21" t="str">
        <f aca="false">IF(ABS(B58-D58)&lt;=0.5,"OK","DIVERSO")</f>
        <v>OK</v>
      </c>
      <c r="F58" s="16" t="s">
        <v>940</v>
      </c>
    </row>
    <row r="59" customFormat="false" ht="15" hidden="false" customHeight="true" outlineLevel="0" collapsed="false">
      <c r="A59" s="14" t="s">
        <v>984</v>
      </c>
      <c r="B59" s="19" t="n">
        <f aca="false">0*$B$51</f>
        <v>0</v>
      </c>
      <c r="C59" s="16" t="s">
        <v>140</v>
      </c>
      <c r="D59" s="20" t="n">
        <v>0</v>
      </c>
      <c r="E59" s="21" t="str">
        <f aca="false">IF(ABS(B59-D59)&lt;=0.5,"OK","DIVERSO")</f>
        <v>OK</v>
      </c>
      <c r="F59" s="16" t="s">
        <v>940</v>
      </c>
    </row>
    <row r="60" customFormat="false" ht="15" hidden="false" customHeight="true" outlineLevel="0" collapsed="false">
      <c r="A60" s="14" t="s">
        <v>985</v>
      </c>
      <c r="B60" s="19" t="n">
        <f aca="false">$B$58-$B$59</f>
        <v>0</v>
      </c>
      <c r="C60" s="16" t="s">
        <v>140</v>
      </c>
      <c r="D60" s="20" t="n">
        <v>0</v>
      </c>
      <c r="E60" s="21" t="str">
        <f aca="false">IF(ABS(B60-D60)&lt;=0.5,"OK","DIVERSO")</f>
        <v>OK</v>
      </c>
      <c r="F60" s="16" t="s">
        <v>940</v>
      </c>
    </row>
    <row r="61" customFormat="false" ht="15" hidden="false" customHeight="true" outlineLevel="0" collapsed="false">
      <c r="A61" s="14" t="s">
        <v>986</v>
      </c>
      <c r="B61" s="19" t="n">
        <f aca="false">$B$52+$B$55+$B$58</f>
        <v>14280</v>
      </c>
      <c r="C61" s="16" t="s">
        <v>140</v>
      </c>
      <c r="D61" s="20" t="n">
        <v>14280</v>
      </c>
      <c r="E61" s="21" t="str">
        <f aca="false">IF(ABS(B61-D61)&lt;=0.5,"OK","DIVERSO")</f>
        <v>OK</v>
      </c>
      <c r="F61" s="16" t="s">
        <v>940</v>
      </c>
    </row>
    <row r="62" customFormat="false" ht="15" hidden="false" customHeight="true" outlineLevel="0" collapsed="false">
      <c r="A62" s="14" t="s">
        <v>987</v>
      </c>
      <c r="B62" s="19" t="n">
        <f aca="false">$B$53+$B$56+$B$59</f>
        <v>6348</v>
      </c>
      <c r="C62" s="16" t="s">
        <v>140</v>
      </c>
      <c r="D62" s="20" t="n">
        <v>6348</v>
      </c>
      <c r="E62" s="21" t="str">
        <f aca="false">IF(ABS(B62-D62)&lt;=0.5,"OK","DIVERSO")</f>
        <v>OK</v>
      </c>
      <c r="F62" s="16" t="s">
        <v>940</v>
      </c>
    </row>
    <row r="63" customFormat="false" ht="15" hidden="false" customHeight="true" outlineLevel="0" collapsed="false">
      <c r="A63" s="14" t="s">
        <v>988</v>
      </c>
      <c r="B63" s="19" t="n">
        <f aca="false">$B$54+$B$57+$B$60</f>
        <v>7932</v>
      </c>
      <c r="C63" s="16" t="s">
        <v>140</v>
      </c>
      <c r="D63" s="20" t="n">
        <v>7932</v>
      </c>
      <c r="E63" s="21" t="str">
        <f aca="false">IF(ABS(B63-D63)&lt;=0.5,"OK","DIVERSO")</f>
        <v>OK</v>
      </c>
      <c r="F63" s="16" t="s">
        <v>940</v>
      </c>
    </row>
    <row r="64" customFormat="false" ht="15" hidden="false" customHeight="true" outlineLevel="0" collapsed="false"/>
    <row r="65" customFormat="false" ht="15" hidden="false" customHeight="true" outlineLevel="0" collapsed="false">
      <c r="A65" s="13" t="s">
        <v>989</v>
      </c>
      <c r="B65" s="13"/>
      <c r="C65" s="13"/>
      <c r="D65" s="13"/>
      <c r="E65" s="13"/>
      <c r="F65" s="13"/>
    </row>
    <row r="66" customFormat="false" ht="15" hidden="false" customHeight="true" outlineLevel="0" collapsed="false">
      <c r="A66" s="22" t="s">
        <v>990</v>
      </c>
      <c r="B66" s="22"/>
      <c r="C66" s="22"/>
      <c r="D66" s="22"/>
      <c r="E66" s="22"/>
      <c r="F66" s="22"/>
    </row>
    <row r="67" customFormat="false" ht="15" hidden="false" customHeight="true" outlineLevel="0" collapsed="false">
      <c r="A67" s="6" t="s">
        <v>116</v>
      </c>
      <c r="B67" s="6" t="s">
        <v>117</v>
      </c>
      <c r="C67" s="6" t="s">
        <v>118</v>
      </c>
      <c r="D67" s="6" t="s">
        <v>119</v>
      </c>
      <c r="E67" s="6" t="s">
        <v>120</v>
      </c>
      <c r="F67" s="6" t="s">
        <v>121</v>
      </c>
    </row>
    <row r="68" customFormat="false" ht="15" hidden="false" customHeight="true" outlineLevel="0" collapsed="false">
      <c r="A68" s="14" t="s">
        <v>991</v>
      </c>
      <c r="B68" s="19" t="n">
        <f aca="false">$B$33-$B$61</f>
        <v>11720</v>
      </c>
      <c r="C68" s="16" t="s">
        <v>140</v>
      </c>
      <c r="D68" s="20" t="n">
        <v>11720</v>
      </c>
      <c r="E68" s="21" t="str">
        <f aca="false">IF(ABS(B68-D68)&lt;=0.5,"OK","DIVERSO")</f>
        <v>OK</v>
      </c>
      <c r="F68" s="16" t="s">
        <v>940</v>
      </c>
    </row>
    <row r="69" customFormat="false" ht="15" hidden="false" customHeight="true" outlineLevel="0" collapsed="false">
      <c r="A69" s="14" t="s">
        <v>992</v>
      </c>
      <c r="B69" s="19" t="n">
        <f aca="false">$B$29-$B$68</f>
        <v>72280</v>
      </c>
      <c r="C69" s="16" t="s">
        <v>140</v>
      </c>
      <c r="D69" s="20" t="n">
        <v>72280</v>
      </c>
      <c r="E69" s="21" t="str">
        <f aca="false">IF(ABS(B69-D69)&lt;=0.5,"OK","DIVERSO")</f>
        <v>OK</v>
      </c>
      <c r="F69" s="16" t="s">
        <v>940</v>
      </c>
    </row>
    <row r="70" customFormat="false" ht="15" hidden="false" customHeight="true" outlineLevel="0" collapsed="false">
      <c r="A70" s="14" t="s">
        <v>993</v>
      </c>
      <c r="B70" s="26" t="n">
        <f aca="false">$B$69/$B$28</f>
        <v>0.301166666666667</v>
      </c>
      <c r="C70" s="16" t="s">
        <v>319</v>
      </c>
      <c r="D70" s="27" t="n">
        <v>0.301</v>
      </c>
      <c r="E70" s="21" t="str">
        <f aca="false">IF(ABS(B70-D70)&lt;=0.0005,"OK","DIVERSO")</f>
        <v>OK</v>
      </c>
      <c r="F70" s="16" t="s">
        <v>940</v>
      </c>
    </row>
    <row r="71" customFormat="false" ht="15" hidden="false" customHeight="true" outlineLevel="0" collapsed="false">
      <c r="A71" s="14" t="s">
        <v>994</v>
      </c>
      <c r="B71" s="19" t="n">
        <f aca="false">$B$62</f>
        <v>6348</v>
      </c>
      <c r="C71" s="16" t="s">
        <v>140</v>
      </c>
      <c r="D71" s="20" t="n">
        <v>6348</v>
      </c>
      <c r="E71" s="21" t="str">
        <f aca="false">IF(ABS(B71-D71)&lt;=0.5,"OK","DIVERSO")</f>
        <v>OK</v>
      </c>
      <c r="F71" s="16" t="s">
        <v>940</v>
      </c>
    </row>
    <row r="72" customFormat="false" ht="15" hidden="false" customHeight="true" outlineLevel="0" collapsed="false">
      <c r="A72" s="14" t="s">
        <v>995</v>
      </c>
      <c r="B72" s="19" t="n">
        <f aca="false">$B$63</f>
        <v>7932</v>
      </c>
      <c r="C72" s="16" t="s">
        <v>140</v>
      </c>
      <c r="D72" s="20" t="n">
        <v>7932</v>
      </c>
      <c r="E72" s="21" t="str">
        <f aca="false">IF(ABS(B72-D72)&lt;=0.5,"OK","DIVERSO")</f>
        <v>OK</v>
      </c>
      <c r="F72" s="16" t="s">
        <v>940</v>
      </c>
    </row>
  </sheetData>
  <mergeCells count="13">
    <mergeCell ref="A1:F1"/>
    <mergeCell ref="A4:F4"/>
    <mergeCell ref="A6:F6"/>
    <mergeCell ref="A7:F7"/>
    <mergeCell ref="A14:F14"/>
    <mergeCell ref="A15:F15"/>
    <mergeCell ref="B23:E23"/>
    <mergeCell ref="A25:F25"/>
    <mergeCell ref="A26:F26"/>
    <mergeCell ref="A43:F43"/>
    <mergeCell ref="A44:F44"/>
    <mergeCell ref="A65:F65"/>
    <mergeCell ref="A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51</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996</v>
      </c>
      <c r="B4" s="5"/>
      <c r="C4" s="5"/>
      <c r="D4" s="5"/>
      <c r="E4" s="5"/>
      <c r="F4" s="5"/>
    </row>
    <row r="5" customFormat="false" ht="15" hidden="false" customHeight="true" outlineLevel="0" collapsed="false"/>
    <row r="6" customFormat="false" ht="15" hidden="false" customHeight="true" outlineLevel="0" collapsed="false">
      <c r="A6" s="13" t="s">
        <v>997</v>
      </c>
      <c r="B6" s="13"/>
      <c r="C6" s="13"/>
      <c r="D6" s="13"/>
      <c r="E6" s="13"/>
      <c r="F6" s="13"/>
    </row>
    <row r="7" customFormat="false" ht="15" hidden="false" customHeight="true" outlineLevel="0" collapsed="false">
      <c r="A7" s="22" t="s">
        <v>998</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999</v>
      </c>
      <c r="B9" s="19" t="n">
        <f aca="false">Impresa_guida!$B$36-Impresa_guida!$B$41</f>
        <v>242000</v>
      </c>
      <c r="C9" s="16" t="s">
        <v>140</v>
      </c>
      <c r="D9" s="20" t="n">
        <v>242000</v>
      </c>
      <c r="E9" s="21" t="str">
        <f aca="false">IF(ABS(B9-D9)&lt;=0.5,"OK","DIVERSO")</f>
        <v>OK</v>
      </c>
      <c r="F9" s="16" t="s">
        <v>1000</v>
      </c>
    </row>
    <row r="10" customFormat="false" ht="15" hidden="false" customHeight="true" outlineLevel="0" collapsed="false">
      <c r="A10" s="14" t="s">
        <v>1001</v>
      </c>
      <c r="B10" s="19" t="n">
        <f aca="false">Impresa_guida!$B$9-Impresa_guida!$B$10</f>
        <v>63</v>
      </c>
      <c r="C10" s="16" t="s">
        <v>126</v>
      </c>
      <c r="D10" s="20" t="n">
        <v>63</v>
      </c>
      <c r="E10" s="21" t="str">
        <f aca="false">IF(ABS(B10-D10)&lt;=0.5,"OK","DIVERSO")</f>
        <v>OK</v>
      </c>
      <c r="F10" s="16" t="s">
        <v>1002</v>
      </c>
    </row>
    <row r="11" customFormat="false" ht="15" hidden="false" customHeight="true" outlineLevel="0" collapsed="false">
      <c r="A11" s="14" t="s">
        <v>1003</v>
      </c>
      <c r="B11" s="19" t="n">
        <f aca="false">Impresa_guida!$B$13-Impresa_guida!$B$14</f>
        <v>38</v>
      </c>
      <c r="C11" s="16" t="s">
        <v>126</v>
      </c>
      <c r="D11" s="20" t="n">
        <v>38</v>
      </c>
      <c r="E11" s="21" t="str">
        <f aca="false">IF(ABS(B11-D11)&lt;=0.5,"OK","DIVERSO")</f>
        <v>OK</v>
      </c>
      <c r="F11" s="16" t="s">
        <v>1000</v>
      </c>
    </row>
    <row r="12" customFormat="false" ht="15" hidden="false" customHeight="true" outlineLevel="0" collapsed="false">
      <c r="A12" s="14" t="s">
        <v>1004</v>
      </c>
      <c r="B12" s="19" t="n">
        <f aca="false">Impresa_guida!$B$17-Impresa_guida!$B$18</f>
        <v>51</v>
      </c>
      <c r="C12" s="16" t="s">
        <v>126</v>
      </c>
      <c r="D12" s="20" t="n">
        <v>51</v>
      </c>
      <c r="E12" s="21" t="str">
        <f aca="false">IF(ABS(B12-D12)&lt;=0.5,"OK","DIVERSO")</f>
        <v>OK</v>
      </c>
      <c r="F12" s="16" t="s">
        <v>1000</v>
      </c>
    </row>
    <row r="13" customFormat="false" ht="15" hidden="false" customHeight="true" outlineLevel="0" collapsed="false"/>
    <row r="14" customFormat="false" ht="15" hidden="false" customHeight="true" outlineLevel="0" collapsed="false">
      <c r="A14" s="13" t="s">
        <v>1005</v>
      </c>
      <c r="B14" s="13"/>
      <c r="C14" s="13"/>
      <c r="D14" s="13"/>
      <c r="E14" s="13"/>
      <c r="F14" s="13"/>
    </row>
    <row r="15" customFormat="false" ht="15" hidden="false" customHeight="true" outlineLevel="0" collapsed="false">
      <c r="A15" s="22" t="s">
        <v>1006</v>
      </c>
      <c r="B15" s="22"/>
      <c r="C15" s="22"/>
      <c r="D15" s="22"/>
      <c r="E15" s="22"/>
      <c r="F15" s="22"/>
    </row>
    <row r="16" customFormat="false" ht="15" hidden="false" customHeight="true" outlineLevel="0" collapsed="false">
      <c r="A16" s="6" t="s">
        <v>116</v>
      </c>
      <c r="B16" s="6" t="s">
        <v>117</v>
      </c>
      <c r="C16" s="6" t="s">
        <v>118</v>
      </c>
      <c r="D16" s="6" t="s">
        <v>119</v>
      </c>
      <c r="E16" s="6" t="s">
        <v>120</v>
      </c>
      <c r="F16" s="6" t="s">
        <v>121</v>
      </c>
    </row>
    <row r="17" customFormat="false" ht="15" hidden="false" customHeight="true" outlineLevel="0" collapsed="false">
      <c r="A17" s="14" t="s">
        <v>1007</v>
      </c>
      <c r="B17" s="19" t="n">
        <f aca="false">Impresa_guida!$B$8</f>
        <v>8000</v>
      </c>
      <c r="C17" s="16" t="s">
        <v>123</v>
      </c>
      <c r="D17" s="20" t="n">
        <v>8000</v>
      </c>
      <c r="E17" s="21" t="str">
        <f aca="false">IF(ABS(B17-D17)&lt;=0.5,"OK","DIVERSO")</f>
        <v>OK</v>
      </c>
      <c r="F17" s="16" t="s">
        <v>1000</v>
      </c>
    </row>
    <row r="18" customFormat="false" ht="15" hidden="false" customHeight="true" outlineLevel="0" collapsed="false">
      <c r="A18" s="14" t="s">
        <v>1008</v>
      </c>
      <c r="B18" s="19" t="n">
        <f aca="false">Impresa_guida!$B$9</f>
        <v>180</v>
      </c>
      <c r="C18" s="16" t="s">
        <v>126</v>
      </c>
      <c r="D18" s="20" t="n">
        <v>180</v>
      </c>
      <c r="E18" s="21" t="str">
        <f aca="false">IF(ABS(B18-D18)&lt;=0.5,"OK","DIVERSO")</f>
        <v>OK</v>
      </c>
      <c r="F18" s="16" t="s">
        <v>1000</v>
      </c>
    </row>
    <row r="19" customFormat="false" ht="15" hidden="false" customHeight="true" outlineLevel="0" collapsed="false">
      <c r="A19" s="14" t="s">
        <v>1009</v>
      </c>
      <c r="B19" s="15" t="n">
        <v>11400</v>
      </c>
      <c r="C19" s="16" t="s">
        <v>123</v>
      </c>
      <c r="D19" s="17"/>
      <c r="E19" s="17"/>
      <c r="F19" s="16" t="s">
        <v>1000</v>
      </c>
    </row>
    <row r="20" customFormat="false" ht="15" hidden="false" customHeight="true" outlineLevel="0" collapsed="false">
      <c r="A20" s="14" t="s">
        <v>1010</v>
      </c>
      <c r="B20" s="15" t="n">
        <v>118</v>
      </c>
      <c r="C20" s="16" t="s">
        <v>126</v>
      </c>
      <c r="D20" s="17"/>
      <c r="E20" s="17"/>
      <c r="F20" s="16" t="s">
        <v>1000</v>
      </c>
    </row>
    <row r="21" customFormat="false" ht="15" hidden="false" customHeight="true" outlineLevel="0" collapsed="false">
      <c r="A21" s="14" t="s">
        <v>1011</v>
      </c>
      <c r="B21" s="15" t="n">
        <v>2100</v>
      </c>
      <c r="C21" s="16" t="s">
        <v>123</v>
      </c>
      <c r="D21" s="17"/>
      <c r="E21" s="17"/>
      <c r="F21" s="16" t="s">
        <v>1000</v>
      </c>
    </row>
    <row r="22" customFormat="false" ht="15" hidden="false" customHeight="true" outlineLevel="0" collapsed="false">
      <c r="A22" s="14" t="s">
        <v>1012</v>
      </c>
      <c r="B22" s="19" t="n">
        <f aca="false">Impresa_guida!$B$17</f>
        <v>289</v>
      </c>
      <c r="C22" s="16" t="s">
        <v>126</v>
      </c>
      <c r="D22" s="20" t="n">
        <v>289</v>
      </c>
      <c r="E22" s="21" t="str">
        <f aca="false">IF(ABS(B22-D22)&lt;=0.5,"OK","DIVERSO")</f>
        <v>OK</v>
      </c>
      <c r="F22" s="16" t="s">
        <v>1000</v>
      </c>
    </row>
    <row r="23" customFormat="false" ht="15" hidden="false" customHeight="true" outlineLevel="0" collapsed="false"/>
    <row r="24" customFormat="false" ht="15" hidden="false" customHeight="true" outlineLevel="0" collapsed="false">
      <c r="A24" s="13" t="s">
        <v>1013</v>
      </c>
      <c r="B24" s="13"/>
      <c r="C24" s="13"/>
      <c r="D24" s="13"/>
      <c r="E24" s="13"/>
      <c r="F24" s="13"/>
    </row>
    <row r="25" customFormat="false" ht="15" hidden="false" customHeight="true" outlineLevel="0" collapsed="false">
      <c r="A25" s="22" t="s">
        <v>1014</v>
      </c>
      <c r="B25" s="22"/>
      <c r="C25" s="22"/>
      <c r="D25" s="22"/>
      <c r="E25" s="22"/>
      <c r="F25" s="22"/>
    </row>
    <row r="26" customFormat="false" ht="15" hidden="false" customHeight="true" outlineLevel="0" collapsed="false">
      <c r="A26" s="6" t="s">
        <v>116</v>
      </c>
      <c r="B26" s="6" t="s">
        <v>117</v>
      </c>
      <c r="C26" s="6" t="s">
        <v>118</v>
      </c>
      <c r="D26" s="6" t="s">
        <v>119</v>
      </c>
      <c r="E26" s="6" t="s">
        <v>120</v>
      </c>
      <c r="F26" s="6" t="s">
        <v>121</v>
      </c>
    </row>
    <row r="27" customFormat="false" ht="15" hidden="false" customHeight="true" outlineLevel="0" collapsed="false">
      <c r="A27" s="14" t="s">
        <v>1015</v>
      </c>
      <c r="B27" s="19" t="n">
        <f aca="false">$B$17+$B$19+$B$21</f>
        <v>21500</v>
      </c>
      <c r="C27" s="16" t="s">
        <v>123</v>
      </c>
      <c r="D27" s="20" t="n">
        <v>21500</v>
      </c>
      <c r="E27" s="21" t="str">
        <f aca="false">IF(ABS(B27-D27)&lt;=0.5,"OK","DIVERSO")</f>
        <v>OK</v>
      </c>
      <c r="F27" s="16" t="s">
        <v>1016</v>
      </c>
    </row>
    <row r="28" customFormat="false" ht="15" hidden="false" customHeight="true" outlineLevel="0" collapsed="false">
      <c r="A28" s="14" t="s">
        <v>1017</v>
      </c>
      <c r="B28" s="19" t="n">
        <f aca="false">$B$17*$B$18+$B$19*$B$20+$B$21*$B$22</f>
        <v>3392100</v>
      </c>
      <c r="C28" s="16" t="s">
        <v>140</v>
      </c>
      <c r="D28" s="20" t="n">
        <v>3392100</v>
      </c>
      <c r="E28" s="21" t="str">
        <f aca="false">IF(ABS(B28-D28)&lt;=0.5,"OK","DIVERSO")</f>
        <v>OK</v>
      </c>
      <c r="F28" s="16" t="s">
        <v>1016</v>
      </c>
    </row>
    <row r="29" customFormat="false" ht="15" hidden="false" customHeight="true" outlineLevel="0" collapsed="false">
      <c r="A29" s="14" t="s">
        <v>1018</v>
      </c>
      <c r="B29" s="19" t="n">
        <f aca="false">$B$17*Impresa_guida!$B$10+$B$19*Impresa_guida!$B$14+$B$21*Impresa_guida!$B$18</f>
        <v>2302200</v>
      </c>
      <c r="C29" s="16" t="s">
        <v>140</v>
      </c>
      <c r="D29" s="17"/>
      <c r="E29" s="17"/>
      <c r="F29" s="16" t="s">
        <v>1000</v>
      </c>
    </row>
    <row r="30" customFormat="false" ht="15" hidden="false" customHeight="true" outlineLevel="0" collapsed="false">
      <c r="A30" s="14" t="s">
        <v>1019</v>
      </c>
      <c r="B30" s="19" t="n">
        <f aca="false">$B$28-$B$29</f>
        <v>1089900</v>
      </c>
      <c r="C30" s="16" t="s">
        <v>140</v>
      </c>
      <c r="D30" s="20" t="n">
        <v>1089900</v>
      </c>
      <c r="E30" s="21" t="str">
        <f aca="false">IF(ABS(B30-D30)&lt;=0.5,"OK","DIVERSO")</f>
        <v>OK</v>
      </c>
      <c r="F30" s="16" t="s">
        <v>1000</v>
      </c>
    </row>
    <row r="31" customFormat="false" ht="15" hidden="false" customHeight="true" outlineLevel="0" collapsed="false">
      <c r="A31" s="14" t="s">
        <v>1020</v>
      </c>
      <c r="B31" s="19" t="n">
        <f aca="false">$B$17*Impresa_guida!$B$11+$B$19*Impresa_guida!$B$15+$B$21*Impresa_guida!$B$19</f>
        <v>24000</v>
      </c>
      <c r="C31" s="16" t="s">
        <v>144</v>
      </c>
      <c r="D31" s="20" t="n">
        <v>24000</v>
      </c>
      <c r="E31" s="21" t="str">
        <f aca="false">IF(ABS(B31-D31)&lt;=0.5,"OK","DIVERSO")</f>
        <v>OK</v>
      </c>
      <c r="F31" s="16" t="s">
        <v>1021</v>
      </c>
    </row>
    <row r="32" customFormat="false" ht="15" hidden="false" customHeight="true" outlineLevel="0" collapsed="false">
      <c r="A32" s="14" t="s">
        <v>156</v>
      </c>
      <c r="B32" s="19" t="n">
        <f aca="false">MAX($B$31-Impresa_guida!$B$26,0)</f>
        <v>3000</v>
      </c>
      <c r="C32" s="16" t="s">
        <v>144</v>
      </c>
      <c r="D32" s="20" t="n">
        <v>3000</v>
      </c>
      <c r="E32" s="21" t="str">
        <f aca="false">IF(ABS(B32-D32)&lt;=0.5,"OK","DIVERSO")</f>
        <v>OK</v>
      </c>
      <c r="F32" s="16" t="s">
        <v>1000</v>
      </c>
    </row>
    <row r="33" customFormat="false" ht="15" hidden="false" customHeight="true" outlineLevel="0" collapsed="false">
      <c r="A33" s="14" t="s">
        <v>157</v>
      </c>
      <c r="B33" s="19" t="n">
        <f aca="false">$B$32*Impresa_guida!$B$27</f>
        <v>84000</v>
      </c>
      <c r="C33" s="16" t="s">
        <v>140</v>
      </c>
      <c r="D33" s="20" t="n">
        <v>84000</v>
      </c>
      <c r="E33" s="21" t="str">
        <f aca="false">IF(ABS(B33-D33)&lt;=0.5,"OK","DIVERSO")</f>
        <v>OK</v>
      </c>
      <c r="F33" s="16" t="s">
        <v>1000</v>
      </c>
    </row>
    <row r="34" customFormat="false" ht="15" hidden="false" customHeight="true" outlineLevel="0" collapsed="false">
      <c r="A34" s="14" t="s">
        <v>1022</v>
      </c>
      <c r="B34" s="19" t="n">
        <f aca="false">Impresa_guida!$B$40+$B$33</f>
        <v>820000</v>
      </c>
      <c r="C34" s="16" t="s">
        <v>140</v>
      </c>
      <c r="D34" s="20" t="n">
        <v>820000</v>
      </c>
      <c r="E34" s="21" t="str">
        <f aca="false">IF(ABS(B34-D34)&lt;=0.5,"OK","DIVERSO")</f>
        <v>OK</v>
      </c>
      <c r="F34" s="16" t="s">
        <v>1000</v>
      </c>
    </row>
    <row r="35" customFormat="false" ht="15" hidden="false" customHeight="true" outlineLevel="0" collapsed="false">
      <c r="A35" s="14" t="s">
        <v>1023</v>
      </c>
      <c r="B35" s="19" t="n">
        <f aca="false">$B$30-$B$34</f>
        <v>269900</v>
      </c>
      <c r="C35" s="16" t="s">
        <v>140</v>
      </c>
      <c r="D35" s="20" t="n">
        <v>269900</v>
      </c>
      <c r="E35" s="21" t="str">
        <f aca="false">IF(ABS(B35-D35)&lt;=0.5,"OK","DIVERSO")</f>
        <v>OK</v>
      </c>
      <c r="F35" s="16" t="s">
        <v>1000</v>
      </c>
    </row>
    <row r="36" customFormat="false" ht="15" hidden="false" customHeight="true" outlineLevel="0" collapsed="false">
      <c r="A36" s="14" t="s">
        <v>1024</v>
      </c>
      <c r="B36" s="19" t="n">
        <f aca="false">$B$35-$B$9</f>
        <v>27900</v>
      </c>
      <c r="C36" s="16" t="s">
        <v>140</v>
      </c>
      <c r="D36" s="20" t="n">
        <v>27900</v>
      </c>
      <c r="E36" s="21" t="str">
        <f aca="false">IF(ABS(B36-D36)&lt;=0.5,"OK","DIVERSO")</f>
        <v>OK</v>
      </c>
      <c r="F36" s="16" t="s">
        <v>1000</v>
      </c>
    </row>
    <row r="37" customFormat="false" ht="15" hidden="false" customHeight="true" outlineLevel="0" collapsed="false"/>
    <row r="38" customFormat="false" ht="15" hidden="false" customHeight="true" outlineLevel="0" collapsed="false">
      <c r="A38" s="13" t="s">
        <v>1025</v>
      </c>
      <c r="B38" s="13"/>
      <c r="C38" s="13"/>
      <c r="D38" s="13"/>
      <c r="E38" s="13"/>
      <c r="F38" s="13"/>
    </row>
    <row r="39" customFormat="false" ht="15" hidden="false" customHeight="true" outlineLevel="0" collapsed="false">
      <c r="A39" s="22" t="s">
        <v>1026</v>
      </c>
      <c r="B39" s="22"/>
      <c r="C39" s="22"/>
      <c r="D39" s="22"/>
      <c r="E39" s="22"/>
      <c r="F39" s="22"/>
    </row>
    <row r="40" customFormat="false" ht="15" hidden="false" customHeight="true" outlineLevel="0" collapsed="false">
      <c r="A40" s="6" t="s">
        <v>116</v>
      </c>
      <c r="B40" s="6" t="s">
        <v>117</v>
      </c>
      <c r="C40" s="6" t="s">
        <v>118</v>
      </c>
      <c r="D40" s="6" t="s">
        <v>119</v>
      </c>
      <c r="E40" s="6" t="s">
        <v>120</v>
      </c>
      <c r="F40" s="6" t="s">
        <v>121</v>
      </c>
    </row>
    <row r="41" customFormat="false" ht="15" hidden="false" customHeight="true" outlineLevel="0" collapsed="false">
      <c r="A41" s="14" t="s">
        <v>1027</v>
      </c>
      <c r="B41" s="19" t="n">
        <f aca="false">($B$19-Impresa_guida!$B$12)*$B$11</f>
        <v>-22800</v>
      </c>
      <c r="C41" s="16" t="s">
        <v>140</v>
      </c>
      <c r="D41" s="20" t="n">
        <v>-22800</v>
      </c>
      <c r="E41" s="21" t="str">
        <f aca="false">IF(ABS(B41-D41)&lt;=0.5,"OK","DIVERSO")</f>
        <v>OK</v>
      </c>
      <c r="F41" s="16" t="s">
        <v>1000</v>
      </c>
    </row>
    <row r="42" customFormat="false" ht="15" hidden="false" customHeight="true" outlineLevel="0" collapsed="false">
      <c r="A42" s="14" t="s">
        <v>1028</v>
      </c>
      <c r="B42" s="19" t="n">
        <f aca="false">($B$21-Impresa_guida!$B$16)*$B$12</f>
        <v>5100</v>
      </c>
      <c r="C42" s="16" t="s">
        <v>140</v>
      </c>
      <c r="D42" s="20" t="n">
        <v>5100</v>
      </c>
      <c r="E42" s="21" t="str">
        <f aca="false">IF(ABS(B42-D42)&lt;=0.5,"OK","DIVERSO")</f>
        <v>OK</v>
      </c>
      <c r="F42" s="16" t="s">
        <v>1000</v>
      </c>
    </row>
    <row r="43" customFormat="false" ht="15" hidden="false" customHeight="true" outlineLevel="0" collapsed="false">
      <c r="A43" s="14" t="s">
        <v>1029</v>
      </c>
      <c r="B43" s="19" t="n">
        <f aca="false">($B$20-Impresa_guida!$B$13)*$B$19</f>
        <v>45600</v>
      </c>
      <c r="C43" s="16" t="s">
        <v>140</v>
      </c>
      <c r="D43" s="20" t="n">
        <v>45600</v>
      </c>
      <c r="E43" s="21" t="str">
        <f aca="false">IF(ABS(B43-D43)&lt;=0.5,"OK","DIVERSO")</f>
        <v>OK</v>
      </c>
      <c r="F43" s="16" t="s">
        <v>1000</v>
      </c>
    </row>
    <row r="44" customFormat="false" ht="15" hidden="false" customHeight="true" outlineLevel="0" collapsed="false">
      <c r="A44" s="14" t="s">
        <v>1030</v>
      </c>
      <c r="B44" s="19" t="n">
        <f aca="false">Impresa_guida!$B$41-$B$34</f>
        <v>0</v>
      </c>
      <c r="C44" s="16" t="s">
        <v>140</v>
      </c>
      <c r="D44" s="20" t="n">
        <v>0</v>
      </c>
      <c r="E44" s="21" t="str">
        <f aca="false">IF(ABS(B44-D44)&lt;=0.5,"OK","DIVERSO")</f>
        <v>OK</v>
      </c>
      <c r="F44" s="16" t="s">
        <v>1000</v>
      </c>
    </row>
    <row r="45" customFormat="false" ht="15" hidden="false" customHeight="true" outlineLevel="0" collapsed="false">
      <c r="A45" s="14" t="s">
        <v>1031</v>
      </c>
      <c r="B45" s="19" t="n">
        <f aca="false">(Impresa_guida!$B$12-$B$19)*Impresa_guida!$B$15</f>
        <v>300</v>
      </c>
      <c r="C45" s="16" t="s">
        <v>144</v>
      </c>
      <c r="D45" s="20" t="n">
        <v>300</v>
      </c>
      <c r="E45" s="21" t="str">
        <f aca="false">IF(ABS(B45-D45)&lt;=0.5,"OK","DIVERSO")</f>
        <v>OK</v>
      </c>
      <c r="F45" s="16" t="s">
        <v>1000</v>
      </c>
    </row>
    <row r="46" customFormat="false" ht="15" hidden="false" customHeight="true" outlineLevel="0" collapsed="false">
      <c r="A46" s="14" t="s">
        <v>1032</v>
      </c>
      <c r="B46" s="19" t="n">
        <f aca="false">($B$21-Impresa_guida!$B$16)*Impresa_guida!$B$19</f>
        <v>300</v>
      </c>
      <c r="C46" s="16" t="s">
        <v>144</v>
      </c>
      <c r="D46" s="20" t="n">
        <v>300</v>
      </c>
      <c r="E46" s="21" t="str">
        <f aca="false">IF(ABS(B46-D46)&lt;=0.5,"OK","DIVERSO")</f>
        <v>OK</v>
      </c>
      <c r="F46" s="16" t="s">
        <v>1000</v>
      </c>
    </row>
    <row r="47" customFormat="false" ht="15" hidden="false" customHeight="true" outlineLevel="0" collapsed="false">
      <c r="A47" s="14" t="s">
        <v>1033</v>
      </c>
      <c r="B47" s="19" t="n">
        <f aca="false">$B$9+$B$41+$B$42+$B$43+$B$44</f>
        <v>269900</v>
      </c>
      <c r="C47" s="16" t="s">
        <v>140</v>
      </c>
      <c r="D47" s="20" t="n">
        <v>269900</v>
      </c>
      <c r="E47" s="21" t="str">
        <f aca="false">IF(ABS(B47-D47)&lt;=0.5,"OK","DIVERSO")</f>
        <v>OK</v>
      </c>
      <c r="F47" s="16" t="s">
        <v>1000</v>
      </c>
    </row>
    <row r="48" customFormat="false" ht="15" hidden="false" customHeight="true" outlineLevel="0" collapsed="false">
      <c r="A48" s="14" t="s">
        <v>1034</v>
      </c>
      <c r="B48" s="28" t="str">
        <f aca="false">IF(ABS($B$47-$B$35)&lt;0.01,"Quadra","Non quadra")</f>
        <v>Quadra</v>
      </c>
      <c r="C48" s="16"/>
      <c r="D48" s="29" t="s">
        <v>1035</v>
      </c>
      <c r="E48" s="21" t="str">
        <f aca="false">IF(B48=D48,"OK","DIVERSO")</f>
        <v>OK</v>
      </c>
      <c r="F48" s="16" t="s">
        <v>1000</v>
      </c>
    </row>
    <row r="49" customFormat="false" ht="15" hidden="false" customHeight="true" outlineLevel="0" collapsed="false"/>
    <row r="50" customFormat="false" ht="15" hidden="false" customHeight="true" outlineLevel="0" collapsed="false">
      <c r="A50" s="13" t="s">
        <v>1036</v>
      </c>
      <c r="B50" s="13"/>
      <c r="C50" s="13"/>
      <c r="D50" s="13"/>
      <c r="E50" s="13"/>
      <c r="F50" s="13"/>
    </row>
    <row r="51" customFormat="false" ht="15" hidden="false" customHeight="true" outlineLevel="0" collapsed="false">
      <c r="A51" s="22" t="s">
        <v>1037</v>
      </c>
      <c r="B51" s="22"/>
      <c r="C51" s="22"/>
      <c r="D51" s="22"/>
      <c r="E51" s="22"/>
      <c r="F51" s="22"/>
    </row>
    <row r="52" customFormat="false" ht="15" hidden="false" customHeight="true" outlineLevel="0" collapsed="false">
      <c r="A52" s="6" t="s">
        <v>116</v>
      </c>
      <c r="B52" s="6" t="s">
        <v>117</v>
      </c>
      <c r="C52" s="6" t="s">
        <v>118</v>
      </c>
      <c r="D52" s="6" t="s">
        <v>119</v>
      </c>
      <c r="E52" s="6" t="s">
        <v>120</v>
      </c>
      <c r="F52" s="6" t="s">
        <v>121</v>
      </c>
    </row>
    <row r="53" customFormat="false" ht="15" hidden="false" customHeight="true" outlineLevel="0" collapsed="false">
      <c r="A53" s="14" t="s">
        <v>1038</v>
      </c>
      <c r="B53" s="19" t="n">
        <f aca="false">$B$35-$B$43</f>
        <v>224300</v>
      </c>
      <c r="C53" s="16" t="s">
        <v>140</v>
      </c>
      <c r="D53" s="20" t="n">
        <v>224300</v>
      </c>
      <c r="E53" s="21" t="str">
        <f aca="false">IF(ABS(B53-D53)&lt;=0.5,"OK","DIVERSO")</f>
        <v>OK</v>
      </c>
      <c r="F53" s="16" t="s">
        <v>1000</v>
      </c>
    </row>
    <row r="54" customFormat="false" ht="15" hidden="false" customHeight="true" outlineLevel="0" collapsed="false">
      <c r="A54" s="14" t="s">
        <v>1039</v>
      </c>
      <c r="B54" s="19" t="n">
        <f aca="false">$B$53-$B$9</f>
        <v>-17700</v>
      </c>
      <c r="C54" s="16" t="s">
        <v>140</v>
      </c>
      <c r="D54" s="20" t="n">
        <v>-17700</v>
      </c>
      <c r="E54" s="21" t="str">
        <f aca="false">IF(ABS(B54-D54)&lt;=0.5,"OK","DIVERSO")</f>
        <v>OK</v>
      </c>
      <c r="F54" s="16" t="s">
        <v>1000</v>
      </c>
    </row>
    <row r="55" customFormat="false" ht="15" hidden="false" customHeight="true" outlineLevel="0" collapsed="false">
      <c r="A55" s="14" t="s">
        <v>1040</v>
      </c>
      <c r="B55" s="25" t="n">
        <v>0.5</v>
      </c>
      <c r="C55" s="16" t="s">
        <v>319</v>
      </c>
      <c r="D55" s="17"/>
      <c r="E55" s="17"/>
      <c r="F55" s="16" t="s">
        <v>1000</v>
      </c>
    </row>
    <row r="56" customFormat="false" ht="15" hidden="false" customHeight="true" outlineLevel="0" collapsed="false">
      <c r="A56" s="14" t="s">
        <v>1041</v>
      </c>
      <c r="B56" s="19" t="n">
        <f aca="false">$B$19*$B$55</f>
        <v>5700</v>
      </c>
      <c r="C56" s="16" t="s">
        <v>123</v>
      </c>
      <c r="D56" s="20" t="n">
        <v>5700</v>
      </c>
      <c r="E56" s="21" t="str">
        <f aca="false">IF(ABS(B56-D56)&lt;=0.5,"OK","DIVERSO")</f>
        <v>OK</v>
      </c>
      <c r="F56" s="16" t="s">
        <v>1000</v>
      </c>
    </row>
    <row r="57" customFormat="false" ht="15" hidden="false" customHeight="true" outlineLevel="0" collapsed="false">
      <c r="A57" s="14" t="s">
        <v>1042</v>
      </c>
      <c r="B57" s="19" t="n">
        <f aca="false">($B$20-Impresa_guida!$B$13)*$B$56</f>
        <v>22800</v>
      </c>
      <c r="C57" s="16" t="s">
        <v>140</v>
      </c>
      <c r="D57" s="20" t="n">
        <v>22800</v>
      </c>
      <c r="E57" s="21" t="str">
        <f aca="false">IF(ABS(B57-D57)&lt;=0.5,"OK","DIVERSO")</f>
        <v>OK</v>
      </c>
      <c r="F57" s="16" t="s">
        <v>1000</v>
      </c>
    </row>
    <row r="58" customFormat="false" ht="15" hidden="false" customHeight="true" outlineLevel="0" collapsed="false">
      <c r="A58" s="14" t="s">
        <v>1043</v>
      </c>
      <c r="B58" s="19" t="n">
        <f aca="false">$B$53+$B$57</f>
        <v>247100</v>
      </c>
      <c r="C58" s="16" t="s">
        <v>140</v>
      </c>
      <c r="D58" s="20" t="n">
        <v>247100</v>
      </c>
      <c r="E58" s="21" t="str">
        <f aca="false">IF(ABS(B58-D58)&lt;=0.5,"OK","DIVERSO")</f>
        <v>OK</v>
      </c>
      <c r="F58" s="16" t="s">
        <v>1000</v>
      </c>
    </row>
  </sheetData>
  <mergeCells count="12">
    <mergeCell ref="A1:F1"/>
    <mergeCell ref="A4:F4"/>
    <mergeCell ref="A6:F6"/>
    <mergeCell ref="A7:F7"/>
    <mergeCell ref="A14:F14"/>
    <mergeCell ref="A15:F15"/>
    <mergeCell ref="A24:F24"/>
    <mergeCell ref="A25:F25"/>
    <mergeCell ref="A38:F38"/>
    <mergeCell ref="A39:F39"/>
    <mergeCell ref="A50:F50"/>
    <mergeCell ref="A51:F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54</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1044</v>
      </c>
      <c r="B4" s="5"/>
      <c r="C4" s="5"/>
      <c r="D4" s="5"/>
      <c r="E4" s="5"/>
      <c r="F4" s="5"/>
    </row>
    <row r="5" customFormat="false" ht="15" hidden="false" customHeight="true" outlineLevel="0" collapsed="false"/>
    <row r="6" customFormat="false" ht="15" hidden="false" customHeight="true" outlineLevel="0" collapsed="false">
      <c r="A6" s="13" t="s">
        <v>1045</v>
      </c>
      <c r="B6" s="13"/>
      <c r="C6" s="13"/>
      <c r="D6" s="13"/>
      <c r="E6" s="13"/>
      <c r="F6" s="13"/>
    </row>
    <row r="7" customFormat="false" ht="15" hidden="false" customHeight="true" outlineLevel="0" collapsed="false">
      <c r="A7" s="22" t="s">
        <v>1046</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1047</v>
      </c>
      <c r="B9" s="15" t="n">
        <v>8000</v>
      </c>
      <c r="C9" s="16" t="s">
        <v>123</v>
      </c>
      <c r="D9" s="17"/>
      <c r="E9" s="17"/>
      <c r="F9" s="16" t="s">
        <v>1016</v>
      </c>
    </row>
    <row r="10" customFormat="false" ht="15" hidden="false" customHeight="true" outlineLevel="0" collapsed="false">
      <c r="A10" s="14" t="s">
        <v>1048</v>
      </c>
      <c r="B10" s="15" t="n">
        <v>120</v>
      </c>
      <c r="C10" s="16" t="s">
        <v>126</v>
      </c>
      <c r="D10" s="17"/>
      <c r="E10" s="17"/>
      <c r="F10" s="16" t="s">
        <v>1016</v>
      </c>
    </row>
    <row r="11" customFormat="false" ht="15" hidden="false" customHeight="true" outlineLevel="0" collapsed="false">
      <c r="A11" s="14" t="s">
        <v>1049</v>
      </c>
      <c r="B11" s="15" t="n">
        <v>5000</v>
      </c>
      <c r="C11" s="16" t="s">
        <v>123</v>
      </c>
      <c r="D11" s="17"/>
      <c r="E11" s="17"/>
      <c r="F11" s="16" t="s">
        <v>1016</v>
      </c>
    </row>
    <row r="12" customFormat="false" ht="15" hidden="false" customHeight="true" outlineLevel="0" collapsed="false">
      <c r="A12" s="14" t="s">
        <v>1050</v>
      </c>
      <c r="B12" s="15" t="n">
        <v>80</v>
      </c>
      <c r="C12" s="16" t="s">
        <v>126</v>
      </c>
      <c r="D12" s="17"/>
      <c r="E12" s="17"/>
      <c r="F12" s="16" t="s">
        <v>1016</v>
      </c>
    </row>
    <row r="13" customFormat="false" ht="15" hidden="false" customHeight="true" outlineLevel="0" collapsed="false">
      <c r="A13" s="14" t="s">
        <v>1051</v>
      </c>
      <c r="B13" s="19" t="n">
        <f aca="false">$B$9*$B$10</f>
        <v>960000</v>
      </c>
      <c r="C13" s="16" t="s">
        <v>140</v>
      </c>
      <c r="D13" s="20" t="n">
        <v>960000</v>
      </c>
      <c r="E13" s="21" t="str">
        <f aca="false">IF(ABS(B13-D13)&lt;=0.5,"OK","DIVERSO")</f>
        <v>OK</v>
      </c>
      <c r="F13" s="16" t="s">
        <v>1016</v>
      </c>
    </row>
    <row r="14" customFormat="false" ht="15" hidden="false" customHeight="true" outlineLevel="0" collapsed="false">
      <c r="A14" s="14" t="s">
        <v>1052</v>
      </c>
      <c r="B14" s="19" t="n">
        <f aca="false">$B$11*$B$12</f>
        <v>400000</v>
      </c>
      <c r="C14" s="16" t="s">
        <v>140</v>
      </c>
      <c r="D14" s="20" t="n">
        <v>400000</v>
      </c>
      <c r="E14" s="21" t="str">
        <f aca="false">IF(ABS(B14-D14)&lt;=0.5,"OK","DIVERSO")</f>
        <v>OK</v>
      </c>
      <c r="F14" s="16" t="s">
        <v>1016</v>
      </c>
    </row>
    <row r="15" customFormat="false" ht="15" hidden="false" customHeight="true" outlineLevel="0" collapsed="false">
      <c r="A15" s="14" t="s">
        <v>1053</v>
      </c>
      <c r="B15" s="19" t="n">
        <f aca="false">$B$9+$B$11</f>
        <v>13000</v>
      </c>
      <c r="C15" s="16" t="s">
        <v>123</v>
      </c>
      <c r="D15" s="20" t="n">
        <v>13000</v>
      </c>
      <c r="E15" s="21" t="str">
        <f aca="false">IF(ABS(B15-D15)&lt;=0.5,"OK","DIVERSO")</f>
        <v>OK</v>
      </c>
      <c r="F15" s="16" t="s">
        <v>1016</v>
      </c>
    </row>
    <row r="16" customFormat="false" ht="15" hidden="false" customHeight="true" outlineLevel="0" collapsed="false">
      <c r="A16" s="14" t="s">
        <v>152</v>
      </c>
      <c r="B16" s="19" t="n">
        <f aca="false">$B$13+$B$14</f>
        <v>1360000</v>
      </c>
      <c r="C16" s="16" t="s">
        <v>140</v>
      </c>
      <c r="D16" s="20" t="n">
        <v>1360000</v>
      </c>
      <c r="E16" s="21" t="str">
        <f aca="false">IF(ABS(B16-D16)&lt;=0.5,"OK","DIVERSO")</f>
        <v>OK</v>
      </c>
      <c r="F16" s="16" t="s">
        <v>1016</v>
      </c>
    </row>
    <row r="17" customFormat="false" ht="15" hidden="false" customHeight="true" outlineLevel="0" collapsed="false"/>
    <row r="18" customFormat="false" ht="15" hidden="false" customHeight="true" outlineLevel="0" collapsed="false">
      <c r="A18" s="13" t="s">
        <v>1054</v>
      </c>
      <c r="B18" s="13"/>
      <c r="C18" s="13"/>
      <c r="D18" s="13"/>
      <c r="E18" s="13"/>
      <c r="F18" s="13"/>
    </row>
    <row r="19" customFormat="false" ht="15" hidden="false" customHeight="true" outlineLevel="0" collapsed="false">
      <c r="A19" s="22" t="s">
        <v>1055</v>
      </c>
      <c r="B19" s="22"/>
      <c r="C19" s="22"/>
      <c r="D19" s="22"/>
      <c r="E19" s="22"/>
      <c r="F19" s="22"/>
    </row>
    <row r="20" customFormat="false" ht="15" hidden="false" customHeight="true" outlineLevel="0" collapsed="false">
      <c r="A20" s="6" t="s">
        <v>116</v>
      </c>
      <c r="B20" s="6" t="s">
        <v>117</v>
      </c>
      <c r="C20" s="6" t="s">
        <v>118</v>
      </c>
      <c r="D20" s="6" t="s">
        <v>119</v>
      </c>
      <c r="E20" s="6" t="s">
        <v>120</v>
      </c>
      <c r="F20" s="6" t="s">
        <v>121</v>
      </c>
    </row>
    <row r="21" customFormat="false" ht="15" hidden="false" customHeight="true" outlineLevel="0" collapsed="false">
      <c r="A21" s="14" t="s">
        <v>690</v>
      </c>
      <c r="B21" s="15" t="n">
        <v>8000</v>
      </c>
      <c r="C21" s="16" t="s">
        <v>123</v>
      </c>
      <c r="D21" s="17"/>
      <c r="E21" s="17"/>
      <c r="F21" s="16" t="s">
        <v>1016</v>
      </c>
    </row>
    <row r="22" customFormat="false" ht="15" hidden="false" customHeight="true" outlineLevel="0" collapsed="false">
      <c r="A22" s="14" t="s">
        <v>1056</v>
      </c>
      <c r="B22" s="15" t="n">
        <v>1200</v>
      </c>
      <c r="C22" s="16" t="s">
        <v>123</v>
      </c>
      <c r="D22" s="17"/>
      <c r="E22" s="17"/>
      <c r="F22" s="16" t="s">
        <v>1016</v>
      </c>
    </row>
    <row r="23" customFormat="false" ht="15" hidden="false" customHeight="true" outlineLevel="0" collapsed="false">
      <c r="A23" s="14" t="s">
        <v>1057</v>
      </c>
      <c r="B23" s="15" t="n">
        <v>900</v>
      </c>
      <c r="C23" s="16" t="s">
        <v>123</v>
      </c>
      <c r="D23" s="17"/>
      <c r="E23" s="17"/>
      <c r="F23" s="16" t="s">
        <v>1016</v>
      </c>
    </row>
    <row r="24" customFormat="false" ht="15" hidden="false" customHeight="true" outlineLevel="0" collapsed="false">
      <c r="A24" s="14" t="s">
        <v>1058</v>
      </c>
      <c r="B24" s="19" t="n">
        <f aca="false">$B$21+$B$22-$B$23</f>
        <v>8300</v>
      </c>
      <c r="C24" s="16" t="s">
        <v>123</v>
      </c>
      <c r="D24" s="20" t="n">
        <v>8300</v>
      </c>
      <c r="E24" s="21" t="str">
        <f aca="false">IF(ABS(B24-D24)&lt;=0.5,"OK","DIVERSO")</f>
        <v>OK</v>
      </c>
      <c r="F24" s="16" t="s">
        <v>1016</v>
      </c>
    </row>
    <row r="25" customFormat="false" ht="15" hidden="false" customHeight="true" outlineLevel="0" collapsed="false">
      <c r="A25" s="14" t="s">
        <v>1059</v>
      </c>
      <c r="B25" s="15" t="n">
        <v>3</v>
      </c>
      <c r="C25" s="16" t="s">
        <v>1060</v>
      </c>
      <c r="D25" s="17"/>
      <c r="E25" s="17"/>
      <c r="F25" s="16" t="s">
        <v>1016</v>
      </c>
    </row>
    <row r="26" customFormat="false" ht="15" hidden="false" customHeight="true" outlineLevel="0" collapsed="false">
      <c r="A26" s="14" t="s">
        <v>1061</v>
      </c>
      <c r="B26" s="19" t="n">
        <f aca="false">$B$24*$B$25</f>
        <v>24900</v>
      </c>
      <c r="C26" s="16" t="s">
        <v>1062</v>
      </c>
      <c r="D26" s="20" t="n">
        <v>24900</v>
      </c>
      <c r="E26" s="21" t="str">
        <f aca="false">IF(ABS(B26-D26)&lt;=0.5,"OK","DIVERSO")</f>
        <v>OK</v>
      </c>
      <c r="F26" s="16" t="s">
        <v>1016</v>
      </c>
    </row>
    <row r="27" customFormat="false" ht="15" hidden="false" customHeight="true" outlineLevel="0" collapsed="false">
      <c r="A27" s="14" t="s">
        <v>1063</v>
      </c>
      <c r="B27" s="18" t="n">
        <v>0.5</v>
      </c>
      <c r="C27" s="16" t="s">
        <v>129</v>
      </c>
      <c r="D27" s="17"/>
      <c r="E27" s="17"/>
      <c r="F27" s="16" t="s">
        <v>1016</v>
      </c>
    </row>
    <row r="28" customFormat="false" ht="15" hidden="false" customHeight="true" outlineLevel="0" collapsed="false">
      <c r="A28" s="14" t="s">
        <v>1064</v>
      </c>
      <c r="B28" s="19" t="n">
        <f aca="false">$B$24*$B$27</f>
        <v>4150</v>
      </c>
      <c r="C28" s="16" t="s">
        <v>144</v>
      </c>
      <c r="D28" s="20" t="n">
        <v>4150</v>
      </c>
      <c r="E28" s="21" t="str">
        <f aca="false">IF(ABS(B28-D28)&lt;=0.5,"OK","DIVERSO")</f>
        <v>OK</v>
      </c>
      <c r="F28" s="16" t="s">
        <v>1016</v>
      </c>
    </row>
    <row r="29" customFormat="false" ht="15" hidden="false" customHeight="true" outlineLevel="0" collapsed="false"/>
    <row r="30" customFormat="false" ht="15" hidden="false" customHeight="true" outlineLevel="0" collapsed="false">
      <c r="A30" s="13" t="s">
        <v>1065</v>
      </c>
      <c r="B30" s="13"/>
      <c r="C30" s="13"/>
      <c r="D30" s="13"/>
      <c r="E30" s="13"/>
      <c r="F30" s="13"/>
    </row>
    <row r="31" customFormat="false" ht="15" hidden="false" customHeight="true" outlineLevel="0" collapsed="false">
      <c r="A31" s="22" t="s">
        <v>1066</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1067</v>
      </c>
      <c r="B33" s="15" t="n">
        <v>2000</v>
      </c>
      <c r="C33" s="16" t="s">
        <v>123</v>
      </c>
      <c r="D33" s="17"/>
      <c r="E33" s="17"/>
      <c r="F33" s="16" t="s">
        <v>1016</v>
      </c>
    </row>
    <row r="34" customFormat="false" ht="15" hidden="false" customHeight="true" outlineLevel="0" collapsed="false">
      <c r="A34" s="14" t="s">
        <v>1068</v>
      </c>
      <c r="B34" s="15" t="n">
        <v>150</v>
      </c>
      <c r="C34" s="16" t="s">
        <v>126</v>
      </c>
      <c r="D34" s="17"/>
      <c r="E34" s="17"/>
      <c r="F34" s="16" t="s">
        <v>1016</v>
      </c>
    </row>
    <row r="35" customFormat="false" ht="15" hidden="false" customHeight="true" outlineLevel="0" collapsed="false">
      <c r="A35" s="14" t="s">
        <v>1069</v>
      </c>
      <c r="B35" s="15" t="n">
        <v>70</v>
      </c>
      <c r="C35" s="16" t="s">
        <v>126</v>
      </c>
      <c r="D35" s="17"/>
      <c r="E35" s="17"/>
      <c r="F35" s="16" t="s">
        <v>1016</v>
      </c>
    </row>
    <row r="36" customFormat="false" ht="15" hidden="false" customHeight="true" outlineLevel="0" collapsed="false">
      <c r="A36" s="14" t="s">
        <v>1070</v>
      </c>
      <c r="B36" s="25" t="n">
        <v>0.05</v>
      </c>
      <c r="C36" s="16" t="s">
        <v>319</v>
      </c>
      <c r="D36" s="17"/>
      <c r="E36" s="17"/>
      <c r="F36" s="16" t="s">
        <v>1016</v>
      </c>
    </row>
    <row r="37" customFormat="false" ht="15" hidden="false" customHeight="true" outlineLevel="0" collapsed="false">
      <c r="A37" s="14" t="s">
        <v>1071</v>
      </c>
      <c r="B37" s="25" t="n">
        <v>0.4</v>
      </c>
      <c r="C37" s="16" t="s">
        <v>319</v>
      </c>
      <c r="D37" s="17"/>
      <c r="E37" s="17"/>
      <c r="F37" s="16" t="s">
        <v>1016</v>
      </c>
    </row>
    <row r="38" customFormat="false" ht="15" hidden="false" customHeight="true" outlineLevel="0" collapsed="false">
      <c r="A38" s="14" t="s">
        <v>599</v>
      </c>
      <c r="B38" s="19" t="n">
        <f aca="false">$B$33*$B$34</f>
        <v>300000</v>
      </c>
      <c r="C38" s="16" t="s">
        <v>140</v>
      </c>
      <c r="D38" s="20" t="n">
        <v>300000</v>
      </c>
      <c r="E38" s="21" t="str">
        <f aca="false">IF(ABS(B38-D38)&lt;=0.5,"OK","DIVERSO")</f>
        <v>OK</v>
      </c>
      <c r="F38" s="16" t="s">
        <v>1016</v>
      </c>
    </row>
    <row r="39" customFormat="false" ht="15" hidden="false" customHeight="true" outlineLevel="0" collapsed="false">
      <c r="A39" s="14" t="s">
        <v>1072</v>
      </c>
      <c r="B39" s="19" t="n">
        <f aca="false">$B$33*$B$35</f>
        <v>140000</v>
      </c>
      <c r="C39" s="16" t="s">
        <v>140</v>
      </c>
      <c r="D39" s="20" t="n">
        <v>140000</v>
      </c>
      <c r="E39" s="21" t="str">
        <f aca="false">IF(ABS(B39-D39)&lt;=0.5,"OK","DIVERSO")</f>
        <v>OK</v>
      </c>
      <c r="F39" s="16" t="s">
        <v>1016</v>
      </c>
    </row>
    <row r="40" customFormat="false" ht="15" hidden="false" customHeight="true" outlineLevel="0" collapsed="false">
      <c r="A40" s="14" t="s">
        <v>1073</v>
      </c>
      <c r="B40" s="19" t="n">
        <f aca="false">$B$38*$B$36</f>
        <v>15000</v>
      </c>
      <c r="C40" s="16" t="s">
        <v>140</v>
      </c>
      <c r="D40" s="20" t="n">
        <v>15000</v>
      </c>
      <c r="E40" s="21" t="str">
        <f aca="false">IF(ABS(B40-D40)&lt;=0.5,"OK","DIVERSO")</f>
        <v>OK</v>
      </c>
      <c r="F40" s="16" t="s">
        <v>1016</v>
      </c>
    </row>
    <row r="41" customFormat="false" ht="15" hidden="false" customHeight="true" outlineLevel="0" collapsed="false">
      <c r="A41" s="14" t="s">
        <v>167</v>
      </c>
      <c r="B41" s="19" t="n">
        <f aca="false">$B$38-$B$39-$B$40</f>
        <v>145000</v>
      </c>
      <c r="C41" s="16" t="s">
        <v>140</v>
      </c>
      <c r="D41" s="20" t="n">
        <v>145000</v>
      </c>
      <c r="E41" s="21" t="str">
        <f aca="false">IF(ABS(B41-D41)&lt;=0.5,"OK","DIVERSO")</f>
        <v>OK</v>
      </c>
      <c r="F41" s="16" t="s">
        <v>1016</v>
      </c>
    </row>
    <row r="42" customFormat="false" ht="15" hidden="false" customHeight="true" outlineLevel="0" collapsed="false">
      <c r="A42" s="14" t="s">
        <v>1074</v>
      </c>
      <c r="B42" s="19" t="n">
        <f aca="false">$B$38*$B$37</f>
        <v>120000</v>
      </c>
      <c r="C42" s="16" t="s">
        <v>140</v>
      </c>
      <c r="D42" s="20" t="n">
        <v>120000</v>
      </c>
      <c r="E42" s="21" t="str">
        <f aca="false">IF(ABS(B42-D42)&lt;=0.5,"OK","DIVERSO")</f>
        <v>OK</v>
      </c>
      <c r="F42" s="16" t="s">
        <v>1016</v>
      </c>
    </row>
    <row r="43" customFormat="false" ht="15" hidden="false" customHeight="true" outlineLevel="0" collapsed="false"/>
    <row r="44" customFormat="false" ht="15" hidden="false" customHeight="true" outlineLevel="0" collapsed="false">
      <c r="A44" s="13" t="s">
        <v>1075</v>
      </c>
      <c r="B44" s="13"/>
      <c r="C44" s="13"/>
      <c r="D44" s="13"/>
      <c r="E44" s="13"/>
      <c r="F44" s="13"/>
    </row>
    <row r="45" customFormat="false" ht="15" hidden="false" customHeight="true" outlineLevel="0" collapsed="false">
      <c r="A45" s="22" t="s">
        <v>1076</v>
      </c>
      <c r="B45" s="22"/>
      <c r="C45" s="22"/>
      <c r="D45" s="22"/>
      <c r="E45" s="22"/>
      <c r="F45" s="22"/>
    </row>
    <row r="46" customFormat="false" ht="15" hidden="false" customHeight="true" outlineLevel="0" collapsed="false">
      <c r="A46" s="6" t="s">
        <v>116</v>
      </c>
      <c r="B46" s="6" t="s">
        <v>117</v>
      </c>
      <c r="C46" s="6" t="s">
        <v>118</v>
      </c>
      <c r="D46" s="6" t="s">
        <v>119</v>
      </c>
      <c r="E46" s="6" t="s">
        <v>120</v>
      </c>
      <c r="F46" s="6" t="s">
        <v>121</v>
      </c>
    </row>
    <row r="47" customFormat="false" ht="15" hidden="false" customHeight="true" outlineLevel="0" collapsed="false">
      <c r="A47" s="14" t="s">
        <v>1077</v>
      </c>
      <c r="B47" s="15" t="n">
        <v>0</v>
      </c>
      <c r="C47" s="16" t="s">
        <v>123</v>
      </c>
      <c r="D47" s="17"/>
      <c r="E47" s="17"/>
      <c r="F47" s="16" t="s">
        <v>1016</v>
      </c>
    </row>
    <row r="48" customFormat="false" ht="15" hidden="false" customHeight="true" outlineLevel="0" collapsed="false">
      <c r="A48" s="14" t="s">
        <v>1078</v>
      </c>
      <c r="B48" s="19" t="n">
        <f aca="false">Cap_12!$B$17+$B$47</f>
        <v>8000</v>
      </c>
      <c r="C48" s="16" t="s">
        <v>123</v>
      </c>
      <c r="D48" s="20" t="n">
        <v>8000</v>
      </c>
      <c r="E48" s="21" t="str">
        <f aca="false">IF(ABS(B48-D48)&lt;=0.5,"OK","DIVERSO")</f>
        <v>OK</v>
      </c>
      <c r="F48" s="16" t="s">
        <v>1016</v>
      </c>
    </row>
    <row r="49" customFormat="false" ht="15" hidden="false" customHeight="true" outlineLevel="0" collapsed="false">
      <c r="A49" s="14" t="s">
        <v>1079</v>
      </c>
      <c r="B49" s="19" t="n">
        <f aca="false">Cap_12!$B$19+$B$47</f>
        <v>11400</v>
      </c>
      <c r="C49" s="16" t="s">
        <v>123</v>
      </c>
      <c r="D49" s="20" t="n">
        <v>11400</v>
      </c>
      <c r="E49" s="21" t="str">
        <f aca="false">IF(ABS(B49-D49)&lt;=0.5,"OK","DIVERSO")</f>
        <v>OK</v>
      </c>
      <c r="F49" s="16" t="s">
        <v>1016</v>
      </c>
    </row>
    <row r="50" customFormat="false" ht="15" hidden="false" customHeight="true" outlineLevel="0" collapsed="false">
      <c r="A50" s="14" t="s">
        <v>1080</v>
      </c>
      <c r="B50" s="19" t="n">
        <f aca="false">Cap_12!$B$21+$B$47</f>
        <v>2100</v>
      </c>
      <c r="C50" s="16" t="s">
        <v>123</v>
      </c>
      <c r="D50" s="20" t="n">
        <v>2100</v>
      </c>
      <c r="E50" s="21" t="str">
        <f aca="false">IF(ABS(B50-D50)&lt;=0.5,"OK","DIVERSO")</f>
        <v>OK</v>
      </c>
      <c r="F50" s="16" t="s">
        <v>1016</v>
      </c>
    </row>
    <row r="51" customFormat="false" ht="15" hidden="false" customHeight="true" outlineLevel="0" collapsed="false">
      <c r="A51" s="14" t="s">
        <v>1081</v>
      </c>
      <c r="B51" s="19" t="n">
        <f aca="false">$B$48+$B$49+$B$50</f>
        <v>21500</v>
      </c>
      <c r="C51" s="16" t="s">
        <v>123</v>
      </c>
      <c r="D51" s="20" t="n">
        <v>21500</v>
      </c>
      <c r="E51" s="21" t="str">
        <f aca="false">IF(ABS(B51-D51)&lt;=0.5,"OK","DIVERSO")</f>
        <v>OK</v>
      </c>
      <c r="F51" s="16" t="s">
        <v>1016</v>
      </c>
    </row>
    <row r="52" customFormat="false" ht="15" hidden="false" customHeight="true" outlineLevel="0" collapsed="false">
      <c r="A52" s="14" t="s">
        <v>1082</v>
      </c>
      <c r="B52" s="19" t="n">
        <f aca="false">$B$48*Impresa_guida!$B$11</f>
        <v>12000</v>
      </c>
      <c r="C52" s="16" t="s">
        <v>144</v>
      </c>
      <c r="D52" s="20" t="n">
        <v>12000</v>
      </c>
      <c r="E52" s="21" t="str">
        <f aca="false">IF(ABS(B52-D52)&lt;=0.5,"OK","DIVERSO")</f>
        <v>OK</v>
      </c>
      <c r="F52" s="16" t="s">
        <v>1016</v>
      </c>
    </row>
    <row r="53" customFormat="false" ht="15" hidden="false" customHeight="true" outlineLevel="0" collapsed="false">
      <c r="A53" s="14" t="s">
        <v>1083</v>
      </c>
      <c r="B53" s="19" t="n">
        <f aca="false">$B$49*Impresa_guida!$B$15</f>
        <v>5700</v>
      </c>
      <c r="C53" s="16" t="s">
        <v>144</v>
      </c>
      <c r="D53" s="20" t="n">
        <v>5700</v>
      </c>
      <c r="E53" s="21" t="str">
        <f aca="false">IF(ABS(B53-D53)&lt;=0.5,"OK","DIVERSO")</f>
        <v>OK</v>
      </c>
      <c r="F53" s="16" t="s">
        <v>1016</v>
      </c>
    </row>
    <row r="54" customFormat="false" ht="15" hidden="false" customHeight="true" outlineLevel="0" collapsed="false">
      <c r="A54" s="14" t="s">
        <v>1084</v>
      </c>
      <c r="B54" s="19" t="n">
        <f aca="false">$B$50*Impresa_guida!$B$19</f>
        <v>6300</v>
      </c>
      <c r="C54" s="16" t="s">
        <v>144</v>
      </c>
      <c r="D54" s="20" t="n">
        <v>6300</v>
      </c>
      <c r="E54" s="21" t="str">
        <f aca="false">IF(ABS(B54-D54)&lt;=0.5,"OK","DIVERSO")</f>
        <v>OK</v>
      </c>
      <c r="F54" s="16" t="s">
        <v>1016</v>
      </c>
    </row>
    <row r="55" customFormat="false" ht="15" hidden="false" customHeight="true" outlineLevel="0" collapsed="false">
      <c r="A55" s="14" t="s">
        <v>155</v>
      </c>
      <c r="B55" s="19" t="n">
        <f aca="false">$B$52+$B$53+$B$54</f>
        <v>24000</v>
      </c>
      <c r="C55" s="16" t="s">
        <v>144</v>
      </c>
      <c r="D55" s="20" t="n">
        <v>24000</v>
      </c>
      <c r="E55" s="21" t="str">
        <f aca="false">IF(ABS(B55-D55)&lt;=0.5,"OK","DIVERSO")</f>
        <v>OK</v>
      </c>
      <c r="F55" s="16" t="s">
        <v>1016</v>
      </c>
    </row>
    <row r="56" customFormat="false" ht="15" hidden="false" customHeight="true" outlineLevel="0" collapsed="false">
      <c r="A56" s="14" t="s">
        <v>1085</v>
      </c>
      <c r="B56" s="28" t="str">
        <f aca="false">IF(ABS($B$55-Cap_12!$B$31)&lt;0.01,"Quadra","Non quadra")</f>
        <v>Quadra</v>
      </c>
      <c r="C56" s="16"/>
      <c r="D56" s="29" t="s">
        <v>1035</v>
      </c>
      <c r="E56" s="21" t="str">
        <f aca="false">IF(B56=D56,"OK","DIVERSO")</f>
        <v>OK</v>
      </c>
      <c r="F56" s="16" t="s">
        <v>1016</v>
      </c>
    </row>
    <row r="57" customFormat="false" ht="15" hidden="false" customHeight="true" outlineLevel="0" collapsed="false">
      <c r="A57" s="14" t="s">
        <v>1086</v>
      </c>
      <c r="B57" s="19" t="n">
        <f aca="false">Cap_12!$B$28</f>
        <v>3392100</v>
      </c>
      <c r="C57" s="16" t="s">
        <v>140</v>
      </c>
      <c r="D57" s="20" t="n">
        <v>3392100</v>
      </c>
      <c r="E57" s="21" t="str">
        <f aca="false">IF(ABS(B57-D57)&lt;=0.5,"OK","DIVERSO")</f>
        <v>OK</v>
      </c>
      <c r="F57" s="16" t="s">
        <v>1016</v>
      </c>
    </row>
    <row r="58" customFormat="false" ht="15" hidden="false" customHeight="true" outlineLevel="0" collapsed="false">
      <c r="A58" s="14" t="s">
        <v>1087</v>
      </c>
      <c r="B58" s="19" t="n">
        <f aca="false">Cap_12!$B$34</f>
        <v>820000</v>
      </c>
      <c r="C58" s="16" t="s">
        <v>140</v>
      </c>
      <c r="D58" s="20" t="n">
        <v>820000</v>
      </c>
      <c r="E58" s="21" t="str">
        <f aca="false">IF(ABS(B58-D58)&lt;=0.5,"OK","DIVERSO")</f>
        <v>OK</v>
      </c>
      <c r="F58" s="16" t="s">
        <v>1016</v>
      </c>
    </row>
    <row r="59" customFormat="false" ht="15" hidden="false" customHeight="true" outlineLevel="0" collapsed="false"/>
    <row r="60" customFormat="false" ht="15" hidden="false" customHeight="true" outlineLevel="0" collapsed="false">
      <c r="A60" s="13" t="s">
        <v>1088</v>
      </c>
      <c r="B60" s="13"/>
      <c r="C60" s="13"/>
      <c r="D60" s="13"/>
      <c r="E60" s="13"/>
      <c r="F60" s="13"/>
    </row>
    <row r="61" customFormat="false" ht="15" hidden="false" customHeight="true" outlineLevel="0" collapsed="false">
      <c r="A61" s="22" t="s">
        <v>1089</v>
      </c>
      <c r="B61" s="22"/>
      <c r="C61" s="22"/>
      <c r="D61" s="22"/>
      <c r="E61" s="22"/>
      <c r="F61" s="22"/>
    </row>
    <row r="62" customFormat="false" ht="15" hidden="false" customHeight="true" outlineLevel="0" collapsed="false">
      <c r="A62" s="6" t="s">
        <v>116</v>
      </c>
      <c r="B62" s="6" t="s">
        <v>117</v>
      </c>
      <c r="C62" s="6" t="s">
        <v>118</v>
      </c>
      <c r="D62" s="6" t="s">
        <v>119</v>
      </c>
      <c r="E62" s="6" t="s">
        <v>120</v>
      </c>
      <c r="F62" s="6" t="s">
        <v>121</v>
      </c>
    </row>
    <row r="63" customFormat="false" ht="15" hidden="false" customHeight="true" outlineLevel="0" collapsed="false">
      <c r="A63" s="14" t="s">
        <v>1090</v>
      </c>
      <c r="B63" s="19" t="n">
        <f aca="false">Impresa_guida!$B$26/12</f>
        <v>1750</v>
      </c>
      <c r="C63" s="16" t="s">
        <v>144</v>
      </c>
      <c r="D63" s="20" t="n">
        <v>1750</v>
      </c>
      <c r="E63" s="21" t="str">
        <f aca="false">IF(ABS(B63-D63)&lt;=0.5,"OK","DIVERSO")</f>
        <v>OK</v>
      </c>
      <c r="F63" s="16" t="s">
        <v>1016</v>
      </c>
    </row>
    <row r="64" customFormat="false" ht="15" hidden="false" customHeight="true" outlineLevel="0" collapsed="false">
      <c r="A64" s="14" t="s">
        <v>1091</v>
      </c>
      <c r="B64" s="15" t="n">
        <v>600</v>
      </c>
      <c r="C64" s="16" t="s">
        <v>123</v>
      </c>
      <c r="D64" s="17"/>
      <c r="E64" s="17"/>
      <c r="F64" s="16" t="s">
        <v>1016</v>
      </c>
    </row>
    <row r="65" customFormat="false" ht="15" hidden="false" customHeight="true" outlineLevel="0" collapsed="false">
      <c r="A65" s="14" t="s">
        <v>1092</v>
      </c>
      <c r="B65" s="15" t="n">
        <v>1000</v>
      </c>
      <c r="C65" s="16" t="s">
        <v>123</v>
      </c>
      <c r="D65" s="17"/>
      <c r="E65" s="17"/>
      <c r="F65" s="16" t="s">
        <v>1016</v>
      </c>
    </row>
    <row r="66" customFormat="false" ht="15" hidden="false" customHeight="true" outlineLevel="0" collapsed="false">
      <c r="A66" s="14" t="s">
        <v>1093</v>
      </c>
      <c r="B66" s="15" t="n">
        <v>200</v>
      </c>
      <c r="C66" s="16" t="s">
        <v>123</v>
      </c>
      <c r="D66" s="17"/>
      <c r="E66" s="17"/>
      <c r="F66" s="16" t="s">
        <v>1016</v>
      </c>
    </row>
    <row r="67" customFormat="false" ht="15" hidden="false" customHeight="true" outlineLevel="0" collapsed="false">
      <c r="A67" s="14" t="s">
        <v>1094</v>
      </c>
      <c r="B67" s="19" t="n">
        <f aca="false">$B$64+$B$65+$B$66</f>
        <v>1800</v>
      </c>
      <c r="C67" s="16" t="s">
        <v>123</v>
      </c>
      <c r="D67" s="20" t="n">
        <v>1800</v>
      </c>
      <c r="E67" s="21" t="str">
        <f aca="false">IF(ABS(B67-D67)&lt;=0.5,"OK","DIVERSO")</f>
        <v>OK</v>
      </c>
      <c r="F67" s="16" t="s">
        <v>1016</v>
      </c>
    </row>
    <row r="68" customFormat="false" ht="15" hidden="false" customHeight="true" outlineLevel="0" collapsed="false">
      <c r="A68" s="14" t="s">
        <v>1095</v>
      </c>
      <c r="B68" s="19" t="n">
        <f aca="false">$B$64*Cap_12!$B$18+$B$65*Cap_12!$B$20+$B$66*Cap_12!$B$22</f>
        <v>283800</v>
      </c>
      <c r="C68" s="16" t="s">
        <v>140</v>
      </c>
      <c r="D68" s="20" t="n">
        <v>283800</v>
      </c>
      <c r="E68" s="21" t="str">
        <f aca="false">IF(ABS(B68-D68)&lt;=0.5,"OK","DIVERSO")</f>
        <v>OK</v>
      </c>
      <c r="F68" s="16" t="s">
        <v>1016</v>
      </c>
    </row>
    <row r="69" customFormat="false" ht="15" hidden="false" customHeight="true" outlineLevel="0" collapsed="false">
      <c r="A69" s="14" t="s">
        <v>1096</v>
      </c>
      <c r="B69" s="19" t="n">
        <f aca="false">$B$64*Impresa_guida!$B$11</f>
        <v>900</v>
      </c>
      <c r="C69" s="16" t="s">
        <v>144</v>
      </c>
      <c r="D69" s="20" t="n">
        <v>900</v>
      </c>
      <c r="E69" s="21" t="str">
        <f aca="false">IF(ABS(B69-D69)&lt;=0.5,"OK","DIVERSO")</f>
        <v>OK</v>
      </c>
      <c r="F69" s="16" t="s">
        <v>1016</v>
      </c>
    </row>
    <row r="70" customFormat="false" ht="15" hidden="false" customHeight="true" outlineLevel="0" collapsed="false">
      <c r="A70" s="14" t="s">
        <v>1097</v>
      </c>
      <c r="B70" s="19" t="n">
        <f aca="false">$B$65*Impresa_guida!$B$15</f>
        <v>500</v>
      </c>
      <c r="C70" s="16" t="s">
        <v>144</v>
      </c>
      <c r="D70" s="20" t="n">
        <v>500</v>
      </c>
      <c r="E70" s="21" t="str">
        <f aca="false">IF(ABS(B70-D70)&lt;=0.5,"OK","DIVERSO")</f>
        <v>OK</v>
      </c>
      <c r="F70" s="16" t="s">
        <v>1016</v>
      </c>
    </row>
    <row r="71" customFormat="false" ht="15" hidden="false" customHeight="true" outlineLevel="0" collapsed="false">
      <c r="A71" s="14" t="s">
        <v>1098</v>
      </c>
      <c r="B71" s="19" t="n">
        <f aca="false">$B$66*Impresa_guida!$B$19</f>
        <v>600</v>
      </c>
      <c r="C71" s="16" t="s">
        <v>144</v>
      </c>
      <c r="D71" s="20" t="n">
        <v>600</v>
      </c>
      <c r="E71" s="21" t="str">
        <f aca="false">IF(ABS(B71-D71)&lt;=0.5,"OK","DIVERSO")</f>
        <v>OK</v>
      </c>
      <c r="F71" s="16" t="s">
        <v>1016</v>
      </c>
    </row>
    <row r="72" customFormat="false" ht="15" hidden="false" customHeight="true" outlineLevel="0" collapsed="false">
      <c r="A72" s="14" t="s">
        <v>1099</v>
      </c>
      <c r="B72" s="19" t="n">
        <f aca="false">$B$69+$B$70+$B$71</f>
        <v>2000</v>
      </c>
      <c r="C72" s="16" t="s">
        <v>144</v>
      </c>
      <c r="D72" s="20" t="n">
        <v>2000</v>
      </c>
      <c r="E72" s="21" t="str">
        <f aca="false">IF(ABS(B72-D72)&lt;=0.5,"OK","DIVERSO")</f>
        <v>OK</v>
      </c>
      <c r="F72" s="16" t="s">
        <v>1016</v>
      </c>
    </row>
    <row r="73" customFormat="false" ht="15" hidden="false" customHeight="true" outlineLevel="0" collapsed="false">
      <c r="A73" s="14" t="s">
        <v>1100</v>
      </c>
      <c r="B73" s="19" t="n">
        <f aca="false">MAX($B$72-$B$63,0)</f>
        <v>250</v>
      </c>
      <c r="C73" s="16" t="s">
        <v>144</v>
      </c>
      <c r="D73" s="20" t="n">
        <v>250</v>
      </c>
      <c r="E73" s="21" t="str">
        <f aca="false">IF(ABS(B73-D73)&lt;=0.5,"OK","DIVERSO")</f>
        <v>OK</v>
      </c>
      <c r="F73" s="16" t="s">
        <v>1016</v>
      </c>
    </row>
    <row r="74" customFormat="false" ht="15" hidden="false" customHeight="true" outlineLevel="0" collapsed="false">
      <c r="A74" s="14" t="s">
        <v>1101</v>
      </c>
      <c r="B74" s="19" t="n">
        <f aca="false">$B$73*Impresa_guida!$B$27</f>
        <v>7000</v>
      </c>
      <c r="C74" s="16" t="s">
        <v>140</v>
      </c>
      <c r="D74" s="20" t="n">
        <v>7000</v>
      </c>
      <c r="E74" s="21" t="str">
        <f aca="false">IF(ABS(B74-D74)&lt;=0.5,"OK","DIVERSO")</f>
        <v>OK</v>
      </c>
      <c r="F74" s="16" t="s">
        <v>1016</v>
      </c>
    </row>
    <row r="75" customFormat="false" ht="15" hidden="false" customHeight="true" outlineLevel="0" collapsed="false">
      <c r="A75" s="14" t="s">
        <v>1102</v>
      </c>
      <c r="B75" s="15" t="n">
        <v>62200</v>
      </c>
      <c r="C75" s="16" t="s">
        <v>140</v>
      </c>
      <c r="D75" s="17"/>
      <c r="E75" s="17"/>
      <c r="F75" s="16" t="s">
        <v>1016</v>
      </c>
    </row>
    <row r="76" customFormat="false" ht="15" hidden="false" customHeight="true" outlineLevel="0" collapsed="false">
      <c r="A76" s="14" t="s">
        <v>1103</v>
      </c>
      <c r="B76" s="19" t="n">
        <f aca="false">$B$75+$B$74</f>
        <v>69200</v>
      </c>
      <c r="C76" s="16" t="s">
        <v>140</v>
      </c>
      <c r="D76" s="20" t="n">
        <v>69200</v>
      </c>
      <c r="E76" s="21" t="str">
        <f aca="false">IF(ABS(B76-D76)&lt;=0.5,"OK","DIVERSO")</f>
        <v>OK</v>
      </c>
      <c r="F76" s="16" t="s">
        <v>1016</v>
      </c>
    </row>
    <row r="77" customFormat="false" ht="15" hidden="false" customHeight="true" outlineLevel="0" collapsed="false"/>
    <row r="78" customFormat="false" ht="15" hidden="false" customHeight="true" outlineLevel="0" collapsed="false">
      <c r="A78" s="13" t="s">
        <v>1104</v>
      </c>
      <c r="B78" s="13"/>
      <c r="C78" s="13"/>
      <c r="D78" s="13"/>
      <c r="E78" s="13"/>
      <c r="F78" s="13"/>
    </row>
    <row r="79" customFormat="false" ht="15" hidden="false" customHeight="true" outlineLevel="0" collapsed="false">
      <c r="A79" s="22" t="s">
        <v>1105</v>
      </c>
      <c r="B79" s="22"/>
      <c r="C79" s="22"/>
      <c r="D79" s="22"/>
      <c r="E79" s="22"/>
      <c r="F79" s="22"/>
    </row>
    <row r="80" customFormat="false" ht="15" hidden="false" customHeight="true" outlineLevel="0" collapsed="false">
      <c r="A80" s="6" t="s">
        <v>116</v>
      </c>
      <c r="B80" s="6" t="s">
        <v>117</v>
      </c>
      <c r="C80" s="6" t="s">
        <v>118</v>
      </c>
      <c r="D80" s="6" t="s">
        <v>119</v>
      </c>
      <c r="E80" s="6" t="s">
        <v>120</v>
      </c>
      <c r="F80" s="6" t="s">
        <v>121</v>
      </c>
    </row>
    <row r="81" customFormat="false" ht="15" hidden="false" customHeight="true" outlineLevel="0" collapsed="false">
      <c r="A81" s="14" t="s">
        <v>1106</v>
      </c>
      <c r="B81" s="15" t="n">
        <v>100</v>
      </c>
      <c r="C81" s="16" t="s">
        <v>123</v>
      </c>
      <c r="D81" s="17"/>
      <c r="E81" s="17"/>
      <c r="F81" s="16" t="s">
        <v>1016</v>
      </c>
    </row>
    <row r="82" customFormat="false" ht="15" hidden="false" customHeight="true" outlineLevel="0" collapsed="false">
      <c r="A82" s="14" t="s">
        <v>1107</v>
      </c>
      <c r="B82" s="19" t="n">
        <f aca="false">Cap_12!$B$21+$B$81</f>
        <v>2200</v>
      </c>
      <c r="C82" s="16" t="s">
        <v>123</v>
      </c>
      <c r="D82" s="20" t="n">
        <v>2200</v>
      </c>
      <c r="E82" s="21" t="str">
        <f aca="false">IF(ABS(B82-D82)&lt;=0.5,"OK","DIVERSO")</f>
        <v>OK</v>
      </c>
      <c r="F82" s="16" t="s">
        <v>1016</v>
      </c>
    </row>
    <row r="83" customFormat="false" ht="15" hidden="false" customHeight="true" outlineLevel="0" collapsed="false">
      <c r="A83" s="14" t="s">
        <v>1108</v>
      </c>
      <c r="B83" s="19" t="n">
        <f aca="false">Cap_12!$B$31+$B$81*Impresa_guida!$B$19</f>
        <v>24300</v>
      </c>
      <c r="C83" s="16" t="s">
        <v>144</v>
      </c>
      <c r="D83" s="20" t="n">
        <v>24300</v>
      </c>
      <c r="E83" s="21" t="str">
        <f aca="false">IF(ABS(B83-D83)&lt;=0.5,"OK","DIVERSO")</f>
        <v>OK</v>
      </c>
      <c r="F83" s="16" t="s">
        <v>1016</v>
      </c>
    </row>
    <row r="84" customFormat="false" ht="15" hidden="false" customHeight="true" outlineLevel="0" collapsed="false">
      <c r="A84" s="14" t="s">
        <v>1109</v>
      </c>
      <c r="B84" s="19" t="n">
        <f aca="false">MAX($B$83-Impresa_guida!$B$26,0)</f>
        <v>3300</v>
      </c>
      <c r="C84" s="16" t="s">
        <v>144</v>
      </c>
      <c r="D84" s="20" t="n">
        <v>3300</v>
      </c>
      <c r="E84" s="21" t="str">
        <f aca="false">IF(ABS(B84-D84)&lt;=0.5,"OK","DIVERSO")</f>
        <v>OK</v>
      </c>
      <c r="F84" s="16" t="s">
        <v>1016</v>
      </c>
    </row>
    <row r="85" customFormat="false" ht="15" hidden="false" customHeight="true" outlineLevel="0" collapsed="false">
      <c r="A85" s="14" t="s">
        <v>1110</v>
      </c>
      <c r="B85" s="19" t="n">
        <f aca="false">($B$84-Cap_12!$B$32)*Impresa_guida!$B$27</f>
        <v>8400</v>
      </c>
      <c r="C85" s="16" t="s">
        <v>140</v>
      </c>
      <c r="D85" s="20" t="n">
        <v>8400</v>
      </c>
      <c r="E85" s="21" t="str">
        <f aca="false">IF(ABS(B85-D85)&lt;=0.5,"OK","DIVERSO")</f>
        <v>OK</v>
      </c>
      <c r="F85" s="16" t="s">
        <v>1016</v>
      </c>
    </row>
    <row r="86" customFormat="false" ht="15" hidden="false" customHeight="true" outlineLevel="0" collapsed="false">
      <c r="A86" s="14" t="s">
        <v>1111</v>
      </c>
      <c r="B86" s="19" t="n">
        <f aca="false">$B$81*Impresa_guida!$B$18</f>
        <v>23800</v>
      </c>
      <c r="C86" s="16" t="s">
        <v>140</v>
      </c>
      <c r="D86" s="20" t="n">
        <v>23800</v>
      </c>
      <c r="E86" s="21" t="str">
        <f aca="false">IF(ABS(B86-D86)&lt;=0.5,"OK","DIVERSO")</f>
        <v>OK</v>
      </c>
      <c r="F86" s="16" t="s">
        <v>1016</v>
      </c>
    </row>
    <row r="87" customFormat="false" ht="15" hidden="false" customHeight="true" outlineLevel="0" collapsed="false">
      <c r="A87" s="14" t="s">
        <v>1112</v>
      </c>
      <c r="B87" s="19" t="n">
        <f aca="false">$B$85+$B$86</f>
        <v>32200</v>
      </c>
      <c r="C87" s="16" t="s">
        <v>140</v>
      </c>
      <c r="D87" s="20" t="n">
        <v>32200</v>
      </c>
      <c r="E87" s="21" t="str">
        <f aca="false">IF(ABS(B87-D87)&lt;=0.5,"OK","DIVERSO")</f>
        <v>OK</v>
      </c>
      <c r="F87" s="16" t="s">
        <v>1016</v>
      </c>
    </row>
    <row r="88" customFormat="false" ht="15" hidden="false" customHeight="true" outlineLevel="0" collapsed="false">
      <c r="A88" s="14" t="s">
        <v>1113</v>
      </c>
      <c r="B88" s="19" t="n">
        <f aca="false">Cap_12!$B$35-$B$85</f>
        <v>261500</v>
      </c>
      <c r="C88" s="16" t="s">
        <v>140</v>
      </c>
      <c r="D88" s="20" t="n">
        <v>261500</v>
      </c>
      <c r="E88" s="21" t="str">
        <f aca="false">IF(ABS(B88-D88)&lt;=0.5,"OK","DIVERSO")</f>
        <v>OK</v>
      </c>
      <c r="F88" s="16" t="s">
        <v>1016</v>
      </c>
    </row>
    <row r="89" customFormat="false" ht="15" hidden="false" customHeight="true" outlineLevel="0" collapsed="false"/>
    <row r="90" customFormat="false" ht="15" hidden="false" customHeight="true" outlineLevel="0" collapsed="false">
      <c r="A90" s="13" t="s">
        <v>1114</v>
      </c>
      <c r="B90" s="13"/>
      <c r="C90" s="13"/>
      <c r="D90" s="13"/>
      <c r="E90" s="13"/>
      <c r="F90" s="13"/>
    </row>
    <row r="91" customFormat="false" ht="15" hidden="false" customHeight="true" outlineLevel="0" collapsed="false">
      <c r="A91" s="22" t="s">
        <v>1115</v>
      </c>
      <c r="B91" s="22"/>
      <c r="C91" s="22"/>
      <c r="D91" s="22"/>
      <c r="E91" s="22"/>
      <c r="F91" s="22"/>
    </row>
    <row r="92" customFormat="false" ht="15" hidden="false" customHeight="true" outlineLevel="0" collapsed="false">
      <c r="A92" s="6" t="s">
        <v>116</v>
      </c>
      <c r="B92" s="6" t="s">
        <v>117</v>
      </c>
      <c r="C92" s="6" t="s">
        <v>118</v>
      </c>
      <c r="D92" s="6" t="s">
        <v>119</v>
      </c>
      <c r="E92" s="6" t="s">
        <v>120</v>
      </c>
      <c r="F92" s="6" t="s">
        <v>121</v>
      </c>
    </row>
    <row r="93" customFormat="false" ht="15" hidden="false" customHeight="true" outlineLevel="0" collapsed="false">
      <c r="A93" s="14" t="s">
        <v>1116</v>
      </c>
      <c r="B93" s="19" t="n">
        <f aca="false">Impresa_guida!$B$24/Impresa_guida!$B$37</f>
        <v>5</v>
      </c>
      <c r="C93" s="16" t="s">
        <v>146</v>
      </c>
      <c r="D93" s="20" t="n">
        <v>5</v>
      </c>
      <c r="E93" s="21" t="str">
        <f aca="false">IF(ABS(B93-D93)&lt;=0.5,"OK","DIVERSO")</f>
        <v>OK</v>
      </c>
      <c r="F93" s="16" t="s">
        <v>1016</v>
      </c>
    </row>
    <row r="94" customFormat="false" ht="15" hidden="false" customHeight="true" outlineLevel="0" collapsed="false">
      <c r="A94" s="14" t="s">
        <v>1117</v>
      </c>
      <c r="B94" s="19" t="n">
        <f aca="false">Impresa_guida!$B$19*$B$93</f>
        <v>15</v>
      </c>
      <c r="C94" s="16" t="s">
        <v>126</v>
      </c>
      <c r="D94" s="20" t="n">
        <v>15</v>
      </c>
      <c r="E94" s="21" t="str">
        <f aca="false">IF(ABS(B94-D94)&lt;=0.5,"OK","DIVERSO")</f>
        <v>OK</v>
      </c>
      <c r="F94" s="16" t="s">
        <v>1016</v>
      </c>
    </row>
    <row r="95" customFormat="false" ht="15" hidden="false" customHeight="true" outlineLevel="0" collapsed="false">
      <c r="A95" s="14" t="s">
        <v>1118</v>
      </c>
      <c r="B95" s="19" t="n">
        <f aca="false">Impresa_guida!$B$18+$B$94</f>
        <v>253</v>
      </c>
      <c r="C95" s="16" t="s">
        <v>126</v>
      </c>
      <c r="D95" s="20" t="n">
        <v>253</v>
      </c>
      <c r="E95" s="21" t="str">
        <f aca="false">IF(ABS(B95-D95)&lt;=0.5,"OK","DIVERSO")</f>
        <v>OK</v>
      </c>
      <c r="F95" s="16" t="s">
        <v>1016</v>
      </c>
    </row>
    <row r="96" customFormat="false" ht="15" hidden="false" customHeight="true" outlineLevel="0" collapsed="false">
      <c r="A96" s="14" t="s">
        <v>1119</v>
      </c>
      <c r="B96" s="19" t="n">
        <f aca="false">$B$81*$B$95</f>
        <v>25300</v>
      </c>
      <c r="C96" s="16" t="s">
        <v>140</v>
      </c>
      <c r="D96" s="20" t="n">
        <v>25300</v>
      </c>
      <c r="E96" s="21" t="str">
        <f aca="false">IF(ABS(B96-D96)&lt;=0.5,"OK","DIVERSO")</f>
        <v>OK</v>
      </c>
      <c r="F96" s="16" t="s">
        <v>1016</v>
      </c>
    </row>
    <row r="97" customFormat="false" ht="15" hidden="false" customHeight="true" outlineLevel="0" collapsed="false">
      <c r="A97" s="14" t="s">
        <v>1120</v>
      </c>
      <c r="B97" s="19" t="n">
        <f aca="false">$B$81*$B$94</f>
        <v>1500</v>
      </c>
      <c r="C97" s="16" t="s">
        <v>140</v>
      </c>
      <c r="D97" s="20" t="n">
        <v>1500</v>
      </c>
      <c r="E97" s="21" t="str">
        <f aca="false">IF(ABS(B97-D97)&lt;=0.5,"OK","DIVERSO")</f>
        <v>OK</v>
      </c>
      <c r="F97" s="16" t="s">
        <v>1016</v>
      </c>
    </row>
    <row r="98" customFormat="false" ht="15" hidden="false" customHeight="true" outlineLevel="0" collapsed="false">
      <c r="A98" s="14" t="s">
        <v>1121</v>
      </c>
      <c r="B98" s="19" t="n">
        <f aca="false">$B$88+$B$97</f>
        <v>263000</v>
      </c>
      <c r="C98" s="16" t="s">
        <v>140</v>
      </c>
      <c r="D98" s="20" t="n">
        <v>263000</v>
      </c>
      <c r="E98" s="21" t="str">
        <f aca="false">IF(ABS(B98-D98)&lt;=0.5,"OK","DIVERSO")</f>
        <v>OK</v>
      </c>
      <c r="F98" s="16" t="s">
        <v>1016</v>
      </c>
    </row>
    <row r="99" customFormat="false" ht="15" hidden="false" customHeight="true" outlineLevel="0" collapsed="false">
      <c r="A99" s="14" t="s">
        <v>1122</v>
      </c>
      <c r="B99" s="19" t="n">
        <f aca="false">$B$83*$B$93</f>
        <v>121500</v>
      </c>
      <c r="C99" s="16" t="s">
        <v>140</v>
      </c>
      <c r="D99" s="20" t="n">
        <v>121500</v>
      </c>
      <c r="E99" s="21" t="str">
        <f aca="false">IF(ABS(B99-D99)&lt;=0.5,"OK","DIVERSO")</f>
        <v>OK</v>
      </c>
      <c r="F99" s="16" t="s">
        <v>1016</v>
      </c>
    </row>
    <row r="100" customFormat="false" ht="15" hidden="false" customHeight="true" outlineLevel="0" collapsed="false">
      <c r="A100" s="14" t="s">
        <v>1123</v>
      </c>
      <c r="B100" s="19" t="n">
        <f aca="false">$B$99-Impresa_guida!$B$24</f>
        <v>1500</v>
      </c>
      <c r="C100" s="16" t="s">
        <v>140</v>
      </c>
      <c r="D100" s="20" t="n">
        <v>1500</v>
      </c>
      <c r="E100" s="21" t="str">
        <f aca="false">IF(ABS(B100-D100)&lt;=0.5,"OK","DIVERSO")</f>
        <v>OK</v>
      </c>
      <c r="F100" s="16" t="s">
        <v>1016</v>
      </c>
    </row>
    <row r="101" customFormat="false" ht="15" hidden="false" customHeight="true" outlineLevel="0" collapsed="false"/>
    <row r="102" customFormat="false" ht="15" hidden="false" customHeight="true" outlineLevel="0" collapsed="false">
      <c r="A102" s="13" t="s">
        <v>1124</v>
      </c>
      <c r="B102" s="13"/>
      <c r="C102" s="13"/>
      <c r="D102" s="13"/>
      <c r="E102" s="13"/>
      <c r="F102" s="13"/>
    </row>
    <row r="103" customFormat="false" ht="15" hidden="false" customHeight="true" outlineLevel="0" collapsed="false">
      <c r="A103" s="22" t="s">
        <v>1125</v>
      </c>
      <c r="B103" s="22"/>
      <c r="C103" s="22"/>
      <c r="D103" s="22"/>
      <c r="E103" s="22"/>
      <c r="F103" s="22"/>
    </row>
    <row r="104" customFormat="false" ht="15" hidden="false" customHeight="true" outlineLevel="0" collapsed="false">
      <c r="A104" s="6" t="s">
        <v>116</v>
      </c>
      <c r="B104" s="6" t="s">
        <v>117</v>
      </c>
      <c r="C104" s="6" t="s">
        <v>118</v>
      </c>
      <c r="D104" s="6" t="s">
        <v>119</v>
      </c>
      <c r="E104" s="6" t="s">
        <v>120</v>
      </c>
      <c r="F104" s="6" t="s">
        <v>121</v>
      </c>
    </row>
    <row r="105" customFormat="false" ht="15" hidden="false" customHeight="true" outlineLevel="0" collapsed="false">
      <c r="A105" s="14" t="s">
        <v>1126</v>
      </c>
      <c r="B105" s="19" t="n">
        <f aca="false">Cap_12!$B$34+Cap_12!$B$33</f>
        <v>904000</v>
      </c>
      <c r="C105" s="16" t="s">
        <v>140</v>
      </c>
      <c r="D105" s="20" t="n">
        <v>904000</v>
      </c>
      <c r="E105" s="21" t="str">
        <f aca="false">IF(ABS(B105-D105)&lt;=0.5,"OK","DIVERSO")</f>
        <v>OK</v>
      </c>
      <c r="F105" s="16" t="s">
        <v>1016</v>
      </c>
    </row>
    <row r="106" customFormat="false" ht="15" hidden="false" customHeight="true" outlineLevel="0" collapsed="false">
      <c r="A106" s="14" t="s">
        <v>1127</v>
      </c>
      <c r="B106" s="19" t="n">
        <f aca="false">Cap_12!$B$30-$B$105</f>
        <v>185900</v>
      </c>
      <c r="C106" s="16" t="s">
        <v>140</v>
      </c>
      <c r="D106" s="20" t="n">
        <v>185900</v>
      </c>
      <c r="E106" s="21" t="str">
        <f aca="false">IF(ABS(B106-D106)&lt;=0.5,"OK","DIVERSO")</f>
        <v>OK</v>
      </c>
      <c r="F106" s="16" t="s">
        <v>1016</v>
      </c>
    </row>
    <row r="107" customFormat="false" ht="15" hidden="false" customHeight="true" outlineLevel="0" collapsed="false"/>
    <row r="108" customFormat="false" ht="15" hidden="false" customHeight="true" outlineLevel="0" collapsed="false">
      <c r="A108" s="13" t="s">
        <v>1128</v>
      </c>
      <c r="B108" s="13"/>
      <c r="C108" s="13"/>
      <c r="D108" s="13"/>
      <c r="E108" s="13"/>
      <c r="F108" s="13"/>
    </row>
    <row r="109" customFormat="false" ht="15" hidden="false" customHeight="true" outlineLevel="0" collapsed="false">
      <c r="A109" s="22" t="s">
        <v>1129</v>
      </c>
      <c r="B109" s="22"/>
      <c r="C109" s="22"/>
      <c r="D109" s="22"/>
      <c r="E109" s="22"/>
      <c r="F109" s="22"/>
    </row>
    <row r="110" customFormat="false" ht="15" hidden="false" customHeight="true" outlineLevel="0" collapsed="false">
      <c r="A110" s="6" t="s">
        <v>116</v>
      </c>
      <c r="B110" s="6" t="s">
        <v>117</v>
      </c>
      <c r="C110" s="6" t="s">
        <v>118</v>
      </c>
      <c r="D110" s="6" t="s">
        <v>119</v>
      </c>
      <c r="E110" s="6" t="s">
        <v>120</v>
      </c>
      <c r="F110" s="6" t="s">
        <v>121</v>
      </c>
    </row>
    <row r="111" customFormat="false" ht="15" hidden="false" customHeight="true" outlineLevel="0" collapsed="false">
      <c r="A111" s="14" t="s">
        <v>1130</v>
      </c>
      <c r="B111" s="19" t="n">
        <f aca="false">Cap_01!$B$44</f>
        <v>74000</v>
      </c>
      <c r="C111" s="16" t="s">
        <v>140</v>
      </c>
      <c r="D111" s="17"/>
      <c r="E111" s="17"/>
      <c r="F111" s="16" t="s">
        <v>1016</v>
      </c>
    </row>
    <row r="112" customFormat="false" ht="15" hidden="false" customHeight="true" outlineLevel="0" collapsed="false">
      <c r="A112" s="14" t="s">
        <v>1131</v>
      </c>
      <c r="B112" s="15" t="n">
        <v>646600</v>
      </c>
      <c r="C112" s="16" t="s">
        <v>140</v>
      </c>
      <c r="D112" s="17"/>
      <c r="E112" s="17"/>
      <c r="F112" s="16" t="s">
        <v>1016</v>
      </c>
    </row>
    <row r="113" customFormat="false" ht="15" hidden="false" customHeight="true" outlineLevel="0" collapsed="false">
      <c r="A113" s="14" t="s">
        <v>1132</v>
      </c>
      <c r="B113" s="15" t="n">
        <v>646600</v>
      </c>
      <c r="C113" s="16" t="s">
        <v>140</v>
      </c>
      <c r="D113" s="17"/>
      <c r="E113" s="17"/>
      <c r="F113" s="16" t="s">
        <v>1016</v>
      </c>
    </row>
    <row r="114" customFormat="false" ht="15" hidden="false" customHeight="true" outlineLevel="0" collapsed="false">
      <c r="A114" s="14" t="s">
        <v>1133</v>
      </c>
      <c r="B114" s="15" t="n">
        <v>360000</v>
      </c>
      <c r="C114" s="16" t="s">
        <v>140</v>
      </c>
      <c r="D114" s="17"/>
      <c r="E114" s="17"/>
      <c r="F114" s="16" t="s">
        <v>1016</v>
      </c>
    </row>
    <row r="115" customFormat="false" ht="15" hidden="false" customHeight="true" outlineLevel="0" collapsed="false">
      <c r="A115" s="14" t="s">
        <v>1134</v>
      </c>
      <c r="B115" s="15" t="n">
        <v>360000</v>
      </c>
      <c r="C115" s="16" t="s">
        <v>140</v>
      </c>
      <c r="D115" s="17"/>
      <c r="E115" s="17"/>
      <c r="F115" s="16" t="s">
        <v>1016</v>
      </c>
    </row>
    <row r="116" customFormat="false" ht="15" hidden="false" customHeight="true" outlineLevel="0" collapsed="false">
      <c r="A116" s="14" t="s">
        <v>1135</v>
      </c>
      <c r="B116" s="15" t="n">
        <v>0</v>
      </c>
      <c r="C116" s="16" t="s">
        <v>140</v>
      </c>
      <c r="D116" s="17"/>
      <c r="E116" s="17"/>
      <c r="F116" s="16" t="s">
        <v>1016</v>
      </c>
    </row>
    <row r="117" customFormat="false" ht="15" hidden="false" customHeight="true" outlineLevel="0" collapsed="false">
      <c r="A117" s="14" t="s">
        <v>1136</v>
      </c>
      <c r="B117" s="19" t="n">
        <f aca="false">($B$113-$B$112)+$B$116-($B$115-$B$114)</f>
        <v>0</v>
      </c>
      <c r="C117" s="16" t="s">
        <v>140</v>
      </c>
      <c r="D117" s="20" t="n">
        <v>0</v>
      </c>
      <c r="E117" s="21" t="str">
        <f aca="false">IF(ABS(B117-D117)&lt;=0.5,"OK","DIVERSO")</f>
        <v>OK</v>
      </c>
      <c r="F117" s="16" t="s">
        <v>1016</v>
      </c>
    </row>
    <row r="118" customFormat="false" ht="15" hidden="false" customHeight="true" outlineLevel="0" collapsed="false">
      <c r="A118" s="14" t="s">
        <v>1137</v>
      </c>
      <c r="B118" s="19" t="n">
        <f aca="false">Cap_12!$B$35+$B$111-$B$117</f>
        <v>343900</v>
      </c>
      <c r="C118" s="16" t="s">
        <v>140</v>
      </c>
      <c r="D118" s="20" t="n">
        <v>343900</v>
      </c>
      <c r="E118" s="21" t="str">
        <f aca="false">IF(ABS(B118-D118)&lt;=0.5,"OK","DIVERSO")</f>
        <v>OK</v>
      </c>
      <c r="F118" s="16" t="s">
        <v>1016</v>
      </c>
    </row>
    <row r="119" customFormat="false" ht="15" hidden="false" customHeight="true" outlineLevel="0" collapsed="false">
      <c r="A119" s="14" t="s">
        <v>1138</v>
      </c>
      <c r="B119" s="19" t="n">
        <f aca="false">$B$111</f>
        <v>74000</v>
      </c>
      <c r="C119" s="16" t="s">
        <v>140</v>
      </c>
      <c r="D119" s="20" t="n">
        <v>74000</v>
      </c>
      <c r="E119" s="21" t="str">
        <f aca="false">IF(ABS(B119-D119)&lt;=0.5,"OK","DIVERSO")</f>
        <v>OK</v>
      </c>
      <c r="F119" s="16" t="s">
        <v>1016</v>
      </c>
    </row>
    <row r="120" customFormat="false" ht="15" hidden="false" customHeight="true" outlineLevel="0" collapsed="false">
      <c r="A120" s="14" t="s">
        <v>1139</v>
      </c>
      <c r="B120" s="19" t="n">
        <f aca="false">$B$118-$B$119</f>
        <v>269900</v>
      </c>
      <c r="C120" s="16" t="s">
        <v>140</v>
      </c>
      <c r="D120" s="20" t="n">
        <v>269900</v>
      </c>
      <c r="E120" s="21" t="str">
        <f aca="false">IF(ABS(B120-D120)&lt;=0.5,"OK","DIVERSO")</f>
        <v>OK</v>
      </c>
      <c r="F120" s="16" t="s">
        <v>1016</v>
      </c>
    </row>
    <row r="121" customFormat="false" ht="15" hidden="false" customHeight="true" outlineLevel="0" collapsed="false">
      <c r="A121" s="14" t="s">
        <v>1140</v>
      </c>
      <c r="B121" s="19" t="n">
        <f aca="false">Cap_12!$B$28/12</f>
        <v>282675</v>
      </c>
      <c r="C121" s="16" t="s">
        <v>140</v>
      </c>
      <c r="D121" s="20" t="n">
        <v>282675</v>
      </c>
      <c r="E121" s="21" t="str">
        <f aca="false">IF(ABS(B121-D121)&lt;=0.5,"OK","DIVERSO")</f>
        <v>OK</v>
      </c>
      <c r="F121" s="16" t="s">
        <v>1016</v>
      </c>
    </row>
    <row r="122" customFormat="false" ht="15" hidden="false" customHeight="true" outlineLevel="0" collapsed="false">
      <c r="A122" s="14" t="s">
        <v>1141</v>
      </c>
      <c r="B122" s="19" t="n">
        <f aca="false">Impresa_guida!$B$40/12</f>
        <v>61333.3333333333</v>
      </c>
      <c r="C122" s="16" t="s">
        <v>140</v>
      </c>
      <c r="D122" s="20" t="n">
        <v>61333</v>
      </c>
      <c r="E122" s="21" t="str">
        <f aca="false">IF(ABS(B122-D122)&lt;=0.5,"OK","DIVERSO")</f>
        <v>OK</v>
      </c>
      <c r="F122" s="16" t="s">
        <v>1016</v>
      </c>
    </row>
    <row r="123" customFormat="false" ht="15" hidden="false" customHeight="true" outlineLevel="0" collapsed="false">
      <c r="A123" s="14" t="s">
        <v>1142</v>
      </c>
      <c r="B123" s="19" t="n">
        <f aca="false">Cap_12!$B$28/365</f>
        <v>9293.42465753425</v>
      </c>
      <c r="C123" s="16" t="s">
        <v>140</v>
      </c>
      <c r="D123" s="20" t="n">
        <v>9293</v>
      </c>
      <c r="E123" s="21" t="str">
        <f aca="false">IF(ABS(B123-D123)&lt;=0.5,"OK","DIVERSO")</f>
        <v>OK</v>
      </c>
      <c r="F123" s="16" t="s">
        <v>1016</v>
      </c>
    </row>
    <row r="124" customFormat="false" ht="15" hidden="false" customHeight="true" outlineLevel="0" collapsed="false">
      <c r="A124" s="14" t="s">
        <v>1143</v>
      </c>
      <c r="B124" s="19" t="n">
        <f aca="false">$B$88+$B$111-$B$86</f>
        <v>311700</v>
      </c>
      <c r="C124" s="16" t="s">
        <v>140</v>
      </c>
      <c r="D124" s="20" t="n">
        <v>311700</v>
      </c>
      <c r="E124" s="21" t="str">
        <f aca="false">IF(ABS(B124-D124)&lt;=0.5,"OK","DIVERSO")</f>
        <v>OK</v>
      </c>
      <c r="F124" s="16" t="s">
        <v>1016</v>
      </c>
    </row>
    <row r="125" customFormat="false" ht="15" hidden="false" customHeight="true" outlineLevel="0" collapsed="false">
      <c r="A125" s="14" t="s">
        <v>1144</v>
      </c>
      <c r="B125" s="19" t="n">
        <f aca="false">$B$118-$B$124</f>
        <v>32200</v>
      </c>
      <c r="C125" s="16" t="s">
        <v>140</v>
      </c>
      <c r="D125" s="20" t="n">
        <v>32200</v>
      </c>
      <c r="E125" s="21" t="str">
        <f aca="false">IF(ABS(B125-D125)&lt;=0.5,"OK","DIVERSO")</f>
        <v>OK</v>
      </c>
      <c r="F125" s="16" t="s">
        <v>1016</v>
      </c>
    </row>
  </sheetData>
  <mergeCells count="20">
    <mergeCell ref="A1:F1"/>
    <mergeCell ref="A4:F4"/>
    <mergeCell ref="A6:F6"/>
    <mergeCell ref="A7:F7"/>
    <mergeCell ref="A18:F18"/>
    <mergeCell ref="A19:F19"/>
    <mergeCell ref="A30:F30"/>
    <mergeCell ref="A31:F31"/>
    <mergeCell ref="A44:F44"/>
    <mergeCell ref="A45:F45"/>
    <mergeCell ref="A60:F60"/>
    <mergeCell ref="A61:F61"/>
    <mergeCell ref="A78:F78"/>
    <mergeCell ref="A79:F79"/>
    <mergeCell ref="A90:F90"/>
    <mergeCell ref="A91:F91"/>
    <mergeCell ref="A102:F102"/>
    <mergeCell ref="A103:F103"/>
    <mergeCell ref="A108:F108"/>
    <mergeCell ref="A109:F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57</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1145</v>
      </c>
      <c r="B4" s="5"/>
      <c r="C4" s="5"/>
      <c r="D4" s="5"/>
      <c r="E4" s="5"/>
      <c r="F4" s="5"/>
    </row>
    <row r="5" customFormat="false" ht="15" hidden="false" customHeight="true" outlineLevel="0" collapsed="false"/>
    <row r="6" customFormat="false" ht="15" hidden="false" customHeight="true" outlineLevel="0" collapsed="false">
      <c r="A6" s="13" t="s">
        <v>1146</v>
      </c>
      <c r="B6" s="13"/>
      <c r="C6" s="13"/>
      <c r="D6" s="13"/>
      <c r="E6" s="13"/>
      <c r="F6" s="13"/>
    </row>
    <row r="7" customFormat="false" ht="15" hidden="false" customHeight="true" outlineLevel="0" collapsed="false">
      <c r="A7" s="22" t="s">
        <v>1147</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1148</v>
      </c>
      <c r="B9" s="15" t="n">
        <v>10000</v>
      </c>
      <c r="C9" s="16" t="s">
        <v>123</v>
      </c>
      <c r="D9" s="17"/>
      <c r="E9" s="17"/>
      <c r="F9" s="16" t="s">
        <v>1002</v>
      </c>
    </row>
    <row r="10" customFormat="false" ht="15" hidden="false" customHeight="true" outlineLevel="0" collapsed="false">
      <c r="A10" s="14" t="s">
        <v>1149</v>
      </c>
      <c r="B10" s="15" t="n">
        <v>11000</v>
      </c>
      <c r="C10" s="16" t="s">
        <v>123</v>
      </c>
      <c r="D10" s="17"/>
      <c r="E10" s="17"/>
      <c r="F10" s="16" t="s">
        <v>1002</v>
      </c>
    </row>
    <row r="11" customFormat="false" ht="15" hidden="false" customHeight="true" outlineLevel="0" collapsed="false">
      <c r="A11" s="14" t="s">
        <v>1150</v>
      </c>
      <c r="B11" s="15" t="n">
        <v>6</v>
      </c>
      <c r="C11" s="16" t="s">
        <v>126</v>
      </c>
      <c r="D11" s="17"/>
      <c r="E11" s="17"/>
      <c r="F11" s="16" t="s">
        <v>1002</v>
      </c>
    </row>
    <row r="12" customFormat="false" ht="15" hidden="false" customHeight="true" outlineLevel="0" collapsed="false">
      <c r="A12" s="14" t="s">
        <v>1151</v>
      </c>
      <c r="B12" s="15" t="n">
        <v>68200</v>
      </c>
      <c r="C12" s="16" t="s">
        <v>140</v>
      </c>
      <c r="D12" s="17"/>
      <c r="E12" s="17"/>
      <c r="F12" s="16" t="s">
        <v>1002</v>
      </c>
    </row>
    <row r="13" customFormat="false" ht="15" hidden="false" customHeight="true" outlineLevel="0" collapsed="false">
      <c r="A13" s="14" t="s">
        <v>1152</v>
      </c>
      <c r="B13" s="19" t="n">
        <f aca="false">$B$9*$B$11</f>
        <v>60000</v>
      </c>
      <c r="C13" s="16" t="s">
        <v>140</v>
      </c>
      <c r="D13" s="20" t="n">
        <v>60000</v>
      </c>
      <c r="E13" s="21" t="str">
        <f aca="false">IF(ABS(B13-D13)&lt;=0.5,"OK","DIVERSO")</f>
        <v>OK</v>
      </c>
      <c r="F13" s="16" t="s">
        <v>1002</v>
      </c>
    </row>
    <row r="14" customFormat="false" ht="15" hidden="false" customHeight="true" outlineLevel="0" collapsed="false">
      <c r="A14" s="14" t="s">
        <v>1153</v>
      </c>
      <c r="B14" s="19" t="n">
        <f aca="false">$B$10*$B$11</f>
        <v>66000</v>
      </c>
      <c r="C14" s="16" t="s">
        <v>140</v>
      </c>
      <c r="D14" s="20" t="n">
        <v>66000</v>
      </c>
      <c r="E14" s="21" t="str">
        <f aca="false">IF(ABS(B14-D14)&lt;=0.5,"OK","DIVERSO")</f>
        <v>OK</v>
      </c>
      <c r="F14" s="16" t="s">
        <v>1002</v>
      </c>
    </row>
    <row r="15" customFormat="false" ht="15" hidden="false" customHeight="true" outlineLevel="0" collapsed="false">
      <c r="A15" s="14" t="s">
        <v>1154</v>
      </c>
      <c r="B15" s="19" t="n">
        <f aca="false">$B$14-$B$13</f>
        <v>6000</v>
      </c>
      <c r="C15" s="16" t="s">
        <v>140</v>
      </c>
      <c r="D15" s="20" t="n">
        <v>6000</v>
      </c>
      <c r="E15" s="21" t="str">
        <f aca="false">IF(ABS(B15-D15)&lt;=0.5,"OK","DIVERSO")</f>
        <v>OK</v>
      </c>
      <c r="F15" s="16" t="s">
        <v>1002</v>
      </c>
    </row>
    <row r="16" customFormat="false" ht="15" hidden="false" customHeight="true" outlineLevel="0" collapsed="false">
      <c r="A16" s="14" t="s">
        <v>1155</v>
      </c>
      <c r="B16" s="19" t="n">
        <f aca="false">$B$12-$B$14</f>
        <v>2200</v>
      </c>
      <c r="C16" s="16" t="s">
        <v>140</v>
      </c>
      <c r="D16" s="20" t="n">
        <v>2200</v>
      </c>
      <c r="E16" s="21" t="str">
        <f aca="false">IF(ABS(B16-D16)&lt;=0.5,"OK","DIVERSO")</f>
        <v>OK</v>
      </c>
      <c r="F16" s="16" t="s">
        <v>1002</v>
      </c>
    </row>
    <row r="17" customFormat="false" ht="15" hidden="false" customHeight="true" outlineLevel="0" collapsed="false">
      <c r="A17" s="14" t="s">
        <v>1156</v>
      </c>
      <c r="B17" s="19" t="n">
        <f aca="false">$B$12-$B$13</f>
        <v>8200</v>
      </c>
      <c r="C17" s="16" t="s">
        <v>140</v>
      </c>
      <c r="D17" s="20" t="n">
        <v>8200</v>
      </c>
      <c r="E17" s="21" t="str">
        <f aca="false">IF(ABS(B17-D17)&lt;=0.5,"OK","DIVERSO")</f>
        <v>OK</v>
      </c>
      <c r="F17" s="16" t="s">
        <v>1002</v>
      </c>
    </row>
    <row r="18" customFormat="false" ht="15" hidden="false" customHeight="true" outlineLevel="0" collapsed="false"/>
    <row r="19" customFormat="false" ht="15" hidden="false" customHeight="true" outlineLevel="0" collapsed="false">
      <c r="A19" s="13" t="s">
        <v>1157</v>
      </c>
      <c r="B19" s="13"/>
      <c r="C19" s="13"/>
      <c r="D19" s="13"/>
      <c r="E19" s="13"/>
      <c r="F19" s="13"/>
    </row>
    <row r="20" customFormat="false" ht="15" hidden="false" customHeight="true" outlineLevel="0" collapsed="false">
      <c r="A20" s="22" t="s">
        <v>1158</v>
      </c>
      <c r="B20" s="22"/>
      <c r="C20" s="22"/>
      <c r="D20" s="22"/>
      <c r="E20" s="22"/>
      <c r="F20" s="22"/>
    </row>
    <row r="21" customFormat="false" ht="15" hidden="false" customHeight="true" outlineLevel="0" collapsed="false">
      <c r="A21" s="6" t="s">
        <v>116</v>
      </c>
      <c r="B21" s="6" t="s">
        <v>117</v>
      </c>
      <c r="C21" s="6" t="s">
        <v>118</v>
      </c>
      <c r="D21" s="6" t="s">
        <v>119</v>
      </c>
      <c r="E21" s="6" t="s">
        <v>120</v>
      </c>
      <c r="F21" s="6" t="s">
        <v>121</v>
      </c>
    </row>
    <row r="22" customFormat="false" ht="15" hidden="false" customHeight="true" outlineLevel="0" collapsed="false">
      <c r="A22" s="14" t="s">
        <v>1159</v>
      </c>
      <c r="B22" s="15" t="n">
        <v>120000</v>
      </c>
      <c r="C22" s="16" t="s">
        <v>140</v>
      </c>
      <c r="D22" s="17"/>
      <c r="E22" s="17"/>
      <c r="F22" s="16" t="s">
        <v>1002</v>
      </c>
    </row>
    <row r="23" customFormat="false" ht="15" hidden="false" customHeight="true" outlineLevel="0" collapsed="false">
      <c r="A23" s="14" t="s">
        <v>1160</v>
      </c>
      <c r="B23" s="15" t="n">
        <v>25000</v>
      </c>
      <c r="C23" s="16" t="s">
        <v>140</v>
      </c>
      <c r="D23" s="17"/>
      <c r="E23" s="17"/>
      <c r="F23" s="16" t="s">
        <v>1002</v>
      </c>
    </row>
    <row r="24" customFormat="false" ht="15" hidden="false" customHeight="true" outlineLevel="0" collapsed="false">
      <c r="A24" s="14" t="s">
        <v>1161</v>
      </c>
      <c r="B24" s="15" t="n">
        <v>-12000</v>
      </c>
      <c r="C24" s="16" t="s">
        <v>140</v>
      </c>
      <c r="D24" s="17"/>
      <c r="E24" s="17"/>
      <c r="F24" s="16" t="s">
        <v>1002</v>
      </c>
    </row>
    <row r="25" customFormat="false" ht="15" hidden="false" customHeight="true" outlineLevel="0" collapsed="false">
      <c r="A25" s="14" t="s">
        <v>1068</v>
      </c>
      <c r="B25" s="15" t="n">
        <v>-18000</v>
      </c>
      <c r="C25" s="16" t="s">
        <v>140</v>
      </c>
      <c r="D25" s="17"/>
      <c r="E25" s="17"/>
      <c r="F25" s="16" t="s">
        <v>1002</v>
      </c>
    </row>
    <row r="26" customFormat="false" ht="15" hidden="false" customHeight="true" outlineLevel="0" collapsed="false">
      <c r="A26" s="14" t="s">
        <v>1162</v>
      </c>
      <c r="B26" s="15" t="n">
        <v>-9000</v>
      </c>
      <c r="C26" s="16" t="s">
        <v>140</v>
      </c>
      <c r="D26" s="17"/>
      <c r="E26" s="17"/>
      <c r="F26" s="16" t="s">
        <v>1002</v>
      </c>
    </row>
    <row r="27" customFormat="false" ht="15" hidden="false" customHeight="true" outlineLevel="0" collapsed="false">
      <c r="A27" s="14" t="s">
        <v>1163</v>
      </c>
      <c r="B27" s="15" t="n">
        <v>6000</v>
      </c>
      <c r="C27" s="16" t="s">
        <v>140</v>
      </c>
      <c r="D27" s="17"/>
      <c r="E27" s="17"/>
      <c r="F27" s="16" t="s">
        <v>1002</v>
      </c>
    </row>
    <row r="28" customFormat="false" ht="15" hidden="false" customHeight="true" outlineLevel="0" collapsed="false">
      <c r="A28" s="14" t="s">
        <v>1164</v>
      </c>
      <c r="B28" s="15" t="n">
        <v>-7000</v>
      </c>
      <c r="C28" s="16" t="s">
        <v>140</v>
      </c>
      <c r="D28" s="17"/>
      <c r="E28" s="17"/>
      <c r="F28" s="16" t="s">
        <v>1002</v>
      </c>
    </row>
    <row r="29" customFormat="false" ht="15" hidden="false" customHeight="true" outlineLevel="0" collapsed="false">
      <c r="A29" s="14" t="s">
        <v>1165</v>
      </c>
      <c r="B29" s="19" t="n">
        <f aca="false">$B$22+$B$23+$B$24+$B$25+$B$26+$B$27+$B$28</f>
        <v>105000</v>
      </c>
      <c r="C29" s="16" t="s">
        <v>140</v>
      </c>
      <c r="D29" s="20" t="n">
        <v>105000</v>
      </c>
      <c r="E29" s="21" t="str">
        <f aca="false">IF(ABS(B29-D29)&lt;=0.5,"OK","DIVERSO")</f>
        <v>OK</v>
      </c>
      <c r="F29" s="16" t="s">
        <v>1002</v>
      </c>
    </row>
    <row r="30" customFormat="false" ht="15" hidden="false" customHeight="true" outlineLevel="0" collapsed="false"/>
    <row r="31" customFormat="false" ht="15" hidden="false" customHeight="true" outlineLevel="0" collapsed="false">
      <c r="A31" s="13" t="s">
        <v>1166</v>
      </c>
      <c r="B31" s="13"/>
      <c r="C31" s="13"/>
      <c r="D31" s="13"/>
      <c r="E31" s="13"/>
      <c r="F31" s="13"/>
    </row>
    <row r="32" customFormat="false" ht="15" hidden="false" customHeight="true" outlineLevel="0" collapsed="false">
      <c r="A32" s="22" t="s">
        <v>1167</v>
      </c>
      <c r="B32" s="22"/>
      <c r="C32" s="22"/>
      <c r="D32" s="22"/>
      <c r="E32" s="22"/>
      <c r="F32" s="22"/>
    </row>
    <row r="33" customFormat="false" ht="15" hidden="false" customHeight="true" outlineLevel="0" collapsed="false">
      <c r="A33" s="6" t="s">
        <v>116</v>
      </c>
      <c r="B33" s="6" t="s">
        <v>117</v>
      </c>
      <c r="C33" s="6" t="s">
        <v>118</v>
      </c>
      <c r="D33" s="6" t="s">
        <v>119</v>
      </c>
      <c r="E33" s="6" t="s">
        <v>120</v>
      </c>
      <c r="F33" s="6" t="s">
        <v>121</v>
      </c>
    </row>
    <row r="34" customFormat="false" ht="15" hidden="false" customHeight="true" outlineLevel="0" collapsed="false">
      <c r="A34" s="14" t="s">
        <v>1168</v>
      </c>
      <c r="B34" s="15" t="n">
        <v>25</v>
      </c>
      <c r="C34" s="16" t="s">
        <v>126</v>
      </c>
      <c r="D34" s="17"/>
      <c r="E34" s="17"/>
      <c r="F34" s="16" t="s">
        <v>1002</v>
      </c>
    </row>
    <row r="35" customFormat="false" ht="15" hidden="false" customHeight="true" outlineLevel="0" collapsed="false">
      <c r="A35" s="14" t="s">
        <v>1169</v>
      </c>
      <c r="B35" s="15" t="n">
        <v>2</v>
      </c>
      <c r="C35" s="16" t="s">
        <v>1060</v>
      </c>
      <c r="D35" s="17"/>
      <c r="E35" s="17"/>
      <c r="F35" s="16" t="s">
        <v>1002</v>
      </c>
    </row>
    <row r="36" customFormat="false" ht="15" hidden="false" customHeight="true" outlineLevel="0" collapsed="false">
      <c r="A36" s="14" t="s">
        <v>1170</v>
      </c>
      <c r="B36" s="15" t="n">
        <v>3</v>
      </c>
      <c r="C36" s="16" t="s">
        <v>237</v>
      </c>
      <c r="D36" s="17"/>
      <c r="E36" s="17"/>
      <c r="F36" s="16" t="s">
        <v>1002</v>
      </c>
    </row>
    <row r="37" customFormat="false" ht="15" hidden="false" customHeight="true" outlineLevel="0" collapsed="false">
      <c r="A37" s="14" t="s">
        <v>1171</v>
      </c>
      <c r="B37" s="39" t="n">
        <v>0.25</v>
      </c>
      <c r="C37" s="16" t="s">
        <v>129</v>
      </c>
      <c r="D37" s="17"/>
      <c r="E37" s="17"/>
      <c r="F37" s="16" t="s">
        <v>1002</v>
      </c>
    </row>
    <row r="38" customFormat="false" ht="15" hidden="false" customHeight="true" outlineLevel="0" collapsed="false">
      <c r="A38" s="14" t="s">
        <v>1172</v>
      </c>
      <c r="B38" s="15" t="n">
        <v>24</v>
      </c>
      <c r="C38" s="16" t="s">
        <v>146</v>
      </c>
      <c r="D38" s="17"/>
      <c r="E38" s="17"/>
      <c r="F38" s="16" t="s">
        <v>1002</v>
      </c>
    </row>
    <row r="39" customFormat="false" ht="15" hidden="false" customHeight="true" outlineLevel="0" collapsed="false">
      <c r="A39" s="14" t="s">
        <v>1173</v>
      </c>
      <c r="B39" s="15" t="n">
        <v>80000</v>
      </c>
      <c r="C39" s="16" t="s">
        <v>140</v>
      </c>
      <c r="D39" s="17"/>
      <c r="E39" s="17"/>
      <c r="F39" s="16" t="s">
        <v>1002</v>
      </c>
    </row>
    <row r="40" customFormat="false" ht="15" hidden="false" customHeight="true" outlineLevel="0" collapsed="false">
      <c r="A40" s="14" t="s">
        <v>1174</v>
      </c>
      <c r="B40" s="18" t="n">
        <v>24.5</v>
      </c>
      <c r="C40" s="16" t="s">
        <v>126</v>
      </c>
      <c r="D40" s="17"/>
      <c r="E40" s="17"/>
      <c r="F40" s="16" t="s">
        <v>1002</v>
      </c>
    </row>
    <row r="41" customFormat="false" ht="15" hidden="false" customHeight="true" outlineLevel="0" collapsed="false">
      <c r="A41" s="14" t="s">
        <v>1175</v>
      </c>
      <c r="B41" s="15" t="n">
        <v>24800</v>
      </c>
      <c r="C41" s="16" t="s">
        <v>1062</v>
      </c>
      <c r="D41" s="17"/>
      <c r="E41" s="17"/>
      <c r="F41" s="16" t="s">
        <v>1002</v>
      </c>
    </row>
    <row r="42" customFormat="false" ht="15" hidden="false" customHeight="true" outlineLevel="0" collapsed="false">
      <c r="A42" s="14" t="s">
        <v>1176</v>
      </c>
      <c r="B42" s="39" t="n">
        <v>2.75</v>
      </c>
      <c r="C42" s="16" t="s">
        <v>237</v>
      </c>
      <c r="D42" s="17"/>
      <c r="E42" s="17"/>
      <c r="F42" s="16" t="s">
        <v>1002</v>
      </c>
    </row>
    <row r="43" customFormat="false" ht="15" hidden="false" customHeight="true" outlineLevel="0" collapsed="false">
      <c r="A43" s="14" t="s">
        <v>1177</v>
      </c>
      <c r="B43" s="15" t="n">
        <v>2900</v>
      </c>
      <c r="C43" s="16" t="s">
        <v>144</v>
      </c>
      <c r="D43" s="17"/>
      <c r="E43" s="17"/>
      <c r="F43" s="16" t="s">
        <v>1002</v>
      </c>
    </row>
    <row r="44" customFormat="false" ht="15" hidden="false" customHeight="true" outlineLevel="0" collapsed="false">
      <c r="A44" s="14" t="s">
        <v>1178</v>
      </c>
      <c r="B44" s="15" t="n">
        <v>25</v>
      </c>
      <c r="C44" s="16" t="s">
        <v>146</v>
      </c>
      <c r="D44" s="17"/>
      <c r="E44" s="17"/>
      <c r="F44" s="16" t="s">
        <v>1002</v>
      </c>
    </row>
    <row r="45" customFormat="false" ht="15" hidden="false" customHeight="true" outlineLevel="0" collapsed="false">
      <c r="A45" s="14" t="s">
        <v>1179</v>
      </c>
      <c r="B45" s="15" t="n">
        <v>82000</v>
      </c>
      <c r="C45" s="16" t="s">
        <v>140</v>
      </c>
      <c r="D45" s="17"/>
      <c r="E45" s="17"/>
      <c r="F45" s="16" t="s">
        <v>1002</v>
      </c>
    </row>
    <row r="46" customFormat="false" ht="15" hidden="false" customHeight="true" outlineLevel="0" collapsed="false">
      <c r="A46" s="14" t="s">
        <v>1180</v>
      </c>
      <c r="B46" s="19" t="n">
        <f aca="false">$B$34-$B$35*$B$36-$B$37*$B$38</f>
        <v>13</v>
      </c>
      <c r="C46" s="16" t="s">
        <v>126</v>
      </c>
      <c r="D46" s="20" t="n">
        <v>13</v>
      </c>
      <c r="E46" s="21" t="str">
        <f aca="false">IF(ABS(B46-D46)&lt;=0.5,"OK","DIVERSO")</f>
        <v>OK</v>
      </c>
      <c r="F46" s="16" t="s">
        <v>1002</v>
      </c>
    </row>
    <row r="47" customFormat="false" ht="15" hidden="false" customHeight="true" outlineLevel="0" collapsed="false"/>
    <row r="48" customFormat="false" ht="15" hidden="false" customHeight="true" outlineLevel="0" collapsed="false">
      <c r="A48" s="13" t="s">
        <v>1181</v>
      </c>
      <c r="B48" s="13"/>
      <c r="C48" s="13"/>
      <c r="D48" s="13"/>
      <c r="E48" s="13"/>
      <c r="F48" s="13"/>
    </row>
    <row r="49" customFormat="false" ht="15" hidden="false" customHeight="true" outlineLevel="0" collapsed="false">
      <c r="A49" s="22" t="s">
        <v>1182</v>
      </c>
      <c r="B49" s="22"/>
      <c r="C49" s="22"/>
      <c r="D49" s="22"/>
      <c r="E49" s="22"/>
      <c r="F49" s="22"/>
    </row>
    <row r="50" customFormat="false" ht="15" hidden="false" customHeight="true" outlineLevel="0" collapsed="false">
      <c r="A50" s="6" t="s">
        <v>116</v>
      </c>
      <c r="B50" s="6" t="s">
        <v>117</v>
      </c>
      <c r="C50" s="6" t="s">
        <v>118</v>
      </c>
      <c r="D50" s="6" t="s">
        <v>119</v>
      </c>
      <c r="E50" s="6" t="s">
        <v>120</v>
      </c>
      <c r="F50" s="6" t="s">
        <v>121</v>
      </c>
    </row>
    <row r="51" customFormat="false" ht="15" hidden="false" customHeight="true" outlineLevel="0" collapsed="false">
      <c r="A51" s="14" t="s">
        <v>1183</v>
      </c>
      <c r="B51" s="19" t="n">
        <f aca="false">$B$9*$B$34</f>
        <v>250000</v>
      </c>
      <c r="C51" s="16" t="s">
        <v>140</v>
      </c>
      <c r="D51" s="20" t="n">
        <v>250000</v>
      </c>
      <c r="E51" s="21" t="str">
        <f aca="false">IF(ABS(B51-D51)&lt;=0.5,"OK","DIVERSO")</f>
        <v>OK</v>
      </c>
      <c r="F51" s="16" t="s">
        <v>1002</v>
      </c>
    </row>
    <row r="52" customFormat="false" ht="15" hidden="false" customHeight="true" outlineLevel="0" collapsed="false">
      <c r="A52" s="14" t="s">
        <v>1184</v>
      </c>
      <c r="B52" s="19" t="n">
        <f aca="false">$B$9*$B$37*$B$38</f>
        <v>60000</v>
      </c>
      <c r="C52" s="16" t="s">
        <v>140</v>
      </c>
      <c r="D52" s="20" t="n">
        <v>60000</v>
      </c>
      <c r="E52" s="21" t="str">
        <f aca="false">IF(ABS(B52-D52)&lt;=0.5,"OK","DIVERSO")</f>
        <v>OK</v>
      </c>
      <c r="F52" s="16" t="s">
        <v>1002</v>
      </c>
    </row>
    <row r="53" customFormat="false" ht="15" hidden="false" customHeight="true" outlineLevel="0" collapsed="false">
      <c r="A53" s="14" t="s">
        <v>1185</v>
      </c>
      <c r="B53" s="19" t="n">
        <f aca="false">$B$51-$B$13-$B$52</f>
        <v>130000</v>
      </c>
      <c r="C53" s="16" t="s">
        <v>140</v>
      </c>
      <c r="D53" s="20" t="n">
        <v>130000</v>
      </c>
      <c r="E53" s="21" t="str">
        <f aca="false">IF(ABS(B53-D53)&lt;=0.5,"OK","DIVERSO")</f>
        <v>OK</v>
      </c>
      <c r="F53" s="16" t="s">
        <v>1002</v>
      </c>
    </row>
    <row r="54" customFormat="false" ht="15" hidden="false" customHeight="true" outlineLevel="0" collapsed="false">
      <c r="A54" s="14" t="s">
        <v>1186</v>
      </c>
      <c r="B54" s="19" t="n">
        <f aca="false">$B$53-$B$39</f>
        <v>50000</v>
      </c>
      <c r="C54" s="16" t="s">
        <v>140</v>
      </c>
      <c r="D54" s="20" t="n">
        <v>50000</v>
      </c>
      <c r="E54" s="21" t="str">
        <f aca="false">IF(ABS(B54-D54)&lt;=0.5,"OK","DIVERSO")</f>
        <v>OK</v>
      </c>
      <c r="F54" s="16" t="s">
        <v>1002</v>
      </c>
    </row>
    <row r="55" customFormat="false" ht="15" hidden="false" customHeight="true" outlineLevel="0" collapsed="false">
      <c r="A55" s="14" t="s">
        <v>1187</v>
      </c>
      <c r="B55" s="19" t="n">
        <f aca="false">$B$10*$B$34</f>
        <v>275000</v>
      </c>
      <c r="C55" s="16" t="s">
        <v>140</v>
      </c>
      <c r="D55" s="20" t="n">
        <v>275000</v>
      </c>
      <c r="E55" s="21" t="str">
        <f aca="false">IF(ABS(B55-D55)&lt;=0.5,"OK","DIVERSO")</f>
        <v>OK</v>
      </c>
      <c r="F55" s="16" t="s">
        <v>1002</v>
      </c>
    </row>
    <row r="56" customFormat="false" ht="15" hidden="false" customHeight="true" outlineLevel="0" collapsed="false">
      <c r="A56" s="14" t="s">
        <v>1188</v>
      </c>
      <c r="B56" s="19" t="n">
        <f aca="false">$B$10*$B$37*$B$38</f>
        <v>66000</v>
      </c>
      <c r="C56" s="16" t="s">
        <v>140</v>
      </c>
      <c r="D56" s="20" t="n">
        <v>66000</v>
      </c>
      <c r="E56" s="21" t="str">
        <f aca="false">IF(ABS(B56-D56)&lt;=0.5,"OK","DIVERSO")</f>
        <v>OK</v>
      </c>
      <c r="F56" s="16" t="s">
        <v>1002</v>
      </c>
    </row>
    <row r="57" customFormat="false" ht="15" hidden="false" customHeight="true" outlineLevel="0" collapsed="false">
      <c r="A57" s="14" t="s">
        <v>1189</v>
      </c>
      <c r="B57" s="19" t="n">
        <f aca="false">$B$55-$B$14-$B$56</f>
        <v>143000</v>
      </c>
      <c r="C57" s="16" t="s">
        <v>140</v>
      </c>
      <c r="D57" s="20" t="n">
        <v>143000</v>
      </c>
      <c r="E57" s="21" t="str">
        <f aca="false">IF(ABS(B57-D57)&lt;=0.5,"OK","DIVERSO")</f>
        <v>OK</v>
      </c>
      <c r="F57" s="16" t="s">
        <v>1002</v>
      </c>
    </row>
    <row r="58" customFormat="false" ht="15" hidden="false" customHeight="true" outlineLevel="0" collapsed="false">
      <c r="A58" s="14" t="s">
        <v>1190</v>
      </c>
      <c r="B58" s="19" t="n">
        <f aca="false">$B$57-$B$39</f>
        <v>63000</v>
      </c>
      <c r="C58" s="16" t="s">
        <v>140</v>
      </c>
      <c r="D58" s="20" t="n">
        <v>63000</v>
      </c>
      <c r="E58" s="21" t="str">
        <f aca="false">IF(ABS(B58-D58)&lt;=0.5,"OK","DIVERSO")</f>
        <v>OK</v>
      </c>
      <c r="F58" s="16" t="s">
        <v>1002</v>
      </c>
    </row>
    <row r="59" customFormat="false" ht="15" hidden="false" customHeight="true" outlineLevel="0" collapsed="false">
      <c r="A59" s="14" t="s">
        <v>1191</v>
      </c>
      <c r="B59" s="19" t="n">
        <f aca="false">$B$10*$B$40</f>
        <v>269500</v>
      </c>
      <c r="C59" s="16" t="s">
        <v>140</v>
      </c>
      <c r="D59" s="20" t="n">
        <v>269500</v>
      </c>
      <c r="E59" s="21" t="str">
        <f aca="false">IF(ABS(B59-D59)&lt;=0.5,"OK","DIVERSO")</f>
        <v>OK</v>
      </c>
      <c r="F59" s="16" t="s">
        <v>1002</v>
      </c>
    </row>
    <row r="60" customFormat="false" ht="15" hidden="false" customHeight="true" outlineLevel="0" collapsed="false">
      <c r="A60" s="14" t="s">
        <v>1192</v>
      </c>
      <c r="B60" s="19" t="n">
        <f aca="false">$B$41*$B$42</f>
        <v>68200</v>
      </c>
      <c r="C60" s="16" t="s">
        <v>140</v>
      </c>
      <c r="D60" s="20" t="n">
        <v>68200</v>
      </c>
      <c r="E60" s="21" t="str">
        <f aca="false">IF(ABS(B60-D60)&lt;=0.5,"OK","DIVERSO")</f>
        <v>OK</v>
      </c>
      <c r="F60" s="16" t="s">
        <v>1002</v>
      </c>
    </row>
    <row r="61" customFormat="false" ht="15" hidden="false" customHeight="true" outlineLevel="0" collapsed="false">
      <c r="A61" s="14" t="s">
        <v>1193</v>
      </c>
      <c r="B61" s="19" t="n">
        <f aca="false">$B$43*$B$44</f>
        <v>72500</v>
      </c>
      <c r="C61" s="16" t="s">
        <v>140</v>
      </c>
      <c r="D61" s="20" t="n">
        <v>72500</v>
      </c>
      <c r="E61" s="21" t="str">
        <f aca="false">IF(ABS(B61-D61)&lt;=0.5,"OK","DIVERSO")</f>
        <v>OK</v>
      </c>
      <c r="F61" s="16" t="s">
        <v>1002</v>
      </c>
    </row>
    <row r="62" customFormat="false" ht="15" hidden="false" customHeight="true" outlineLevel="0" collapsed="false">
      <c r="A62" s="14" t="s">
        <v>1194</v>
      </c>
      <c r="B62" s="19" t="n">
        <f aca="false">$B$59-$B$60-$B$61</f>
        <v>128800</v>
      </c>
      <c r="C62" s="16" t="s">
        <v>140</v>
      </c>
      <c r="D62" s="20" t="n">
        <v>128800</v>
      </c>
      <c r="E62" s="21" t="str">
        <f aca="false">IF(ABS(B62-D62)&lt;=0.5,"OK","DIVERSO")</f>
        <v>OK</v>
      </c>
      <c r="F62" s="16" t="s">
        <v>1002</v>
      </c>
    </row>
    <row r="63" customFormat="false" ht="15" hidden="false" customHeight="true" outlineLevel="0" collapsed="false">
      <c r="A63" s="14" t="s">
        <v>1195</v>
      </c>
      <c r="B63" s="19" t="n">
        <f aca="false">$B$62-$B$45</f>
        <v>46800</v>
      </c>
      <c r="C63" s="16" t="s">
        <v>140</v>
      </c>
      <c r="D63" s="20" t="n">
        <v>46800</v>
      </c>
      <c r="E63" s="21" t="str">
        <f aca="false">IF(ABS(B63-D63)&lt;=0.5,"OK","DIVERSO")</f>
        <v>OK</v>
      </c>
      <c r="F63" s="16" t="s">
        <v>1002</v>
      </c>
    </row>
    <row r="64" customFormat="false" ht="15" hidden="false" customHeight="true" outlineLevel="0" collapsed="false"/>
    <row r="65" customFormat="false" ht="15" hidden="false" customHeight="true" outlineLevel="0" collapsed="false">
      <c r="A65" s="13" t="s">
        <v>1196</v>
      </c>
      <c r="B65" s="13"/>
      <c r="C65" s="13"/>
      <c r="D65" s="13"/>
      <c r="E65" s="13"/>
      <c r="F65" s="13"/>
    </row>
    <row r="66" customFormat="false" ht="15" hidden="false" customHeight="true" outlineLevel="0" collapsed="false">
      <c r="A66" s="22" t="s">
        <v>1197</v>
      </c>
      <c r="B66" s="22"/>
      <c r="C66" s="22"/>
      <c r="D66" s="22"/>
      <c r="E66" s="22"/>
      <c r="F66" s="22"/>
    </row>
    <row r="67" customFormat="false" ht="15" hidden="false" customHeight="true" outlineLevel="0" collapsed="false">
      <c r="A67" s="6" t="s">
        <v>116</v>
      </c>
      <c r="B67" s="6" t="s">
        <v>117</v>
      </c>
      <c r="C67" s="6" t="s">
        <v>118</v>
      </c>
      <c r="D67" s="6" t="s">
        <v>119</v>
      </c>
      <c r="E67" s="6" t="s">
        <v>120</v>
      </c>
      <c r="F67" s="6" t="s">
        <v>121</v>
      </c>
    </row>
    <row r="68" customFormat="false" ht="15" hidden="false" customHeight="true" outlineLevel="0" collapsed="false">
      <c r="A68" s="14" t="s">
        <v>1198</v>
      </c>
      <c r="B68" s="19" t="n">
        <f aca="false">$B$10*$B$35</f>
        <v>22000</v>
      </c>
      <c r="C68" s="16" t="s">
        <v>1062</v>
      </c>
      <c r="D68" s="20" t="n">
        <v>22000</v>
      </c>
      <c r="E68" s="21" t="str">
        <f aca="false">IF(ABS(B68-D68)&lt;=0.5,"OK","DIVERSO")</f>
        <v>OK</v>
      </c>
      <c r="F68" s="16" t="s">
        <v>1002</v>
      </c>
    </row>
    <row r="69" customFormat="false" ht="15" hidden="false" customHeight="true" outlineLevel="0" collapsed="false">
      <c r="A69" s="14" t="s">
        <v>1199</v>
      </c>
      <c r="B69" s="19" t="n">
        <f aca="false">$B$10*$B$37</f>
        <v>2750</v>
      </c>
      <c r="C69" s="16" t="s">
        <v>144</v>
      </c>
      <c r="D69" s="20" t="n">
        <v>2750</v>
      </c>
      <c r="E69" s="21" t="str">
        <f aca="false">IF(ABS(B69-D69)&lt;=0.5,"OK","DIVERSO")</f>
        <v>OK</v>
      </c>
      <c r="F69" s="16" t="s">
        <v>1002</v>
      </c>
    </row>
    <row r="70" customFormat="false" ht="15" hidden="false" customHeight="true" outlineLevel="0" collapsed="false">
      <c r="A70" s="14" t="s">
        <v>1160</v>
      </c>
      <c r="B70" s="19" t="n">
        <f aca="false">($B$10-$B$9)*$B$46</f>
        <v>13000</v>
      </c>
      <c r="C70" s="16" t="s">
        <v>140</v>
      </c>
      <c r="D70" s="20" t="n">
        <v>13000</v>
      </c>
      <c r="E70" s="21" t="str">
        <f aca="false">IF(ABS(B70-D70)&lt;=0.5,"OK","DIVERSO")</f>
        <v>OK</v>
      </c>
      <c r="F70" s="16" t="s">
        <v>1002</v>
      </c>
    </row>
    <row r="71" customFormat="false" ht="15" hidden="false" customHeight="true" outlineLevel="0" collapsed="false">
      <c r="A71" s="14" t="s">
        <v>1200</v>
      </c>
      <c r="B71" s="19" t="n">
        <f aca="false">($B$40-$B$34)*$B$10</f>
        <v>-5500</v>
      </c>
      <c r="C71" s="16" t="s">
        <v>140</v>
      </c>
      <c r="D71" s="20" t="n">
        <v>-5500</v>
      </c>
      <c r="E71" s="21" t="str">
        <f aca="false">IF(ABS(B71-D71)&lt;=0.5,"OK","DIVERSO")</f>
        <v>OK</v>
      </c>
      <c r="F71" s="16" t="s">
        <v>1002</v>
      </c>
    </row>
    <row r="72" customFormat="false" ht="15" hidden="false" customHeight="true" outlineLevel="0" collapsed="false">
      <c r="A72" s="14" t="s">
        <v>1201</v>
      </c>
      <c r="B72" s="19" t="n">
        <f aca="false">-($B$42-$B$36)*$B$41</f>
        <v>6200</v>
      </c>
      <c r="C72" s="16" t="s">
        <v>140</v>
      </c>
      <c r="D72" s="20" t="n">
        <v>6200</v>
      </c>
      <c r="E72" s="21" t="str">
        <f aca="false">IF(ABS(B72-D72)&lt;=0.5,"OK","DIVERSO")</f>
        <v>OK</v>
      </c>
      <c r="F72" s="16" t="s">
        <v>1002</v>
      </c>
    </row>
    <row r="73" customFormat="false" ht="15" hidden="false" customHeight="true" outlineLevel="0" collapsed="false">
      <c r="A73" s="14" t="s">
        <v>1202</v>
      </c>
      <c r="B73" s="19" t="n">
        <f aca="false">-($B$41-$B$68)*$B$36</f>
        <v>-8400</v>
      </c>
      <c r="C73" s="16" t="s">
        <v>140</v>
      </c>
      <c r="D73" s="20" t="n">
        <v>-8400</v>
      </c>
      <c r="E73" s="21" t="str">
        <f aca="false">IF(ABS(B73-D73)&lt;=0.5,"OK","DIVERSO")</f>
        <v>OK</v>
      </c>
      <c r="F73" s="16" t="s">
        <v>1002</v>
      </c>
    </row>
    <row r="74" customFormat="false" ht="15" hidden="false" customHeight="true" outlineLevel="0" collapsed="false">
      <c r="A74" s="14" t="s">
        <v>1203</v>
      </c>
      <c r="B74" s="19" t="n">
        <f aca="false">-($B$44-$B$38)*$B$43</f>
        <v>-2900</v>
      </c>
      <c r="C74" s="16" t="s">
        <v>140</v>
      </c>
      <c r="D74" s="20" t="n">
        <v>-2900</v>
      </c>
      <c r="E74" s="21" t="str">
        <f aca="false">IF(ABS(B74-D74)&lt;=0.5,"OK","DIVERSO")</f>
        <v>OK</v>
      </c>
      <c r="F74" s="16" t="s">
        <v>1002</v>
      </c>
    </row>
    <row r="75" customFormat="false" ht="15" hidden="false" customHeight="true" outlineLevel="0" collapsed="false">
      <c r="A75" s="14" t="s">
        <v>1204</v>
      </c>
      <c r="B75" s="19" t="n">
        <f aca="false">-($B$43-$B$69)*$B$38</f>
        <v>-3600</v>
      </c>
      <c r="C75" s="16" t="s">
        <v>140</v>
      </c>
      <c r="D75" s="20" t="n">
        <v>-3600</v>
      </c>
      <c r="E75" s="21" t="str">
        <f aca="false">IF(ABS(B75-D75)&lt;=0.5,"OK","DIVERSO")</f>
        <v>OK</v>
      </c>
      <c r="F75" s="16" t="s">
        <v>1002</v>
      </c>
    </row>
    <row r="76" customFormat="false" ht="15" hidden="false" customHeight="true" outlineLevel="0" collapsed="false">
      <c r="A76" s="14" t="s">
        <v>1205</v>
      </c>
      <c r="B76" s="19" t="n">
        <f aca="false">-($B$45-$B$39)</f>
        <v>-2000</v>
      </c>
      <c r="C76" s="16" t="s">
        <v>140</v>
      </c>
      <c r="D76" s="20" t="n">
        <v>-2000</v>
      </c>
      <c r="E76" s="21" t="str">
        <f aca="false">IF(ABS(B76-D76)&lt;=0.5,"OK","DIVERSO")</f>
        <v>OK</v>
      </c>
      <c r="F76" s="16" t="s">
        <v>1002</v>
      </c>
    </row>
    <row r="77" customFormat="false" ht="15" hidden="false" customHeight="true" outlineLevel="0" collapsed="false">
      <c r="A77" s="14" t="s">
        <v>1206</v>
      </c>
      <c r="B77" s="19" t="n">
        <f aca="false">$B$70+$B$71+$B$72+$B$73+$B$74+$B$75+$B$76</f>
        <v>-3200</v>
      </c>
      <c r="C77" s="16" t="s">
        <v>140</v>
      </c>
      <c r="D77" s="20" t="n">
        <v>-3200</v>
      </c>
      <c r="E77" s="21" t="str">
        <f aca="false">IF(ABS(B77-D77)&lt;=0.5,"OK","DIVERSO")</f>
        <v>OK</v>
      </c>
      <c r="F77" s="16" t="s">
        <v>1002</v>
      </c>
    </row>
    <row r="78" customFormat="false" ht="15" hidden="false" customHeight="true" outlineLevel="0" collapsed="false">
      <c r="A78" s="14" t="s">
        <v>1207</v>
      </c>
      <c r="B78" s="28" t="str">
        <f aca="false">IF(ABS($B$77-($B$63-$B$54))&lt;0.01,"Quadra","Non quadra")</f>
        <v>Quadra</v>
      </c>
      <c r="C78" s="16"/>
      <c r="D78" s="29" t="s">
        <v>1035</v>
      </c>
      <c r="E78" s="21" t="str">
        <f aca="false">IF(B78=D78,"OK","DIVERSO")</f>
        <v>OK</v>
      </c>
      <c r="F78" s="16" t="s">
        <v>1002</v>
      </c>
    </row>
    <row r="79" customFormat="false" ht="15" hidden="false" customHeight="true" outlineLevel="0" collapsed="false">
      <c r="A79" s="14" t="s">
        <v>1208</v>
      </c>
      <c r="B79" s="19" t="n">
        <f aca="false">$B$77-$B$70</f>
        <v>-16200</v>
      </c>
      <c r="C79" s="16" t="s">
        <v>140</v>
      </c>
      <c r="D79" s="20" t="n">
        <v>-16200</v>
      </c>
      <c r="E79" s="21" t="str">
        <f aca="false">IF(ABS(B79-D79)&lt;=0.5,"OK","DIVERSO")</f>
        <v>OK</v>
      </c>
      <c r="F79" s="16" t="s">
        <v>1002</v>
      </c>
    </row>
    <row r="80" customFormat="false" ht="15" hidden="false" customHeight="true" outlineLevel="0" collapsed="false"/>
    <row r="81" customFormat="false" ht="15" hidden="false" customHeight="true" outlineLevel="0" collapsed="false">
      <c r="A81" s="13" t="s">
        <v>1209</v>
      </c>
      <c r="B81" s="13"/>
      <c r="C81" s="13"/>
      <c r="D81" s="13"/>
      <c r="E81" s="13"/>
      <c r="F81" s="13"/>
    </row>
    <row r="82" customFormat="false" ht="15" hidden="false" customHeight="true" outlineLevel="0" collapsed="false">
      <c r="A82" s="22" t="s">
        <v>1210</v>
      </c>
      <c r="B82" s="22"/>
      <c r="C82" s="22"/>
      <c r="D82" s="22"/>
      <c r="E82" s="22"/>
      <c r="F82" s="22"/>
    </row>
    <row r="83" customFormat="false" ht="15" hidden="false" customHeight="true" outlineLevel="0" collapsed="false">
      <c r="A83" s="6" t="s">
        <v>116</v>
      </c>
      <c r="B83" s="6" t="s">
        <v>117</v>
      </c>
      <c r="C83" s="6" t="s">
        <v>118</v>
      </c>
      <c r="D83" s="6" t="s">
        <v>119</v>
      </c>
      <c r="E83" s="6" t="s">
        <v>120</v>
      </c>
      <c r="F83" s="6" t="s">
        <v>121</v>
      </c>
    </row>
    <row r="84" customFormat="false" ht="15" hidden="false" customHeight="true" outlineLevel="0" collapsed="false">
      <c r="A84" s="14" t="s">
        <v>1211</v>
      </c>
      <c r="B84" s="19" t="n">
        <f aca="false">Cap_12!$B$18-Impresa_guida!$B$10</f>
        <v>63</v>
      </c>
      <c r="C84" s="16" t="s">
        <v>126</v>
      </c>
      <c r="D84" s="20" t="n">
        <v>63</v>
      </c>
      <c r="E84" s="21" t="str">
        <f aca="false">IF(ABS(B84-D84)&lt;=0.5,"OK","DIVERSO")</f>
        <v>OK</v>
      </c>
      <c r="F84" s="16" t="s">
        <v>1002</v>
      </c>
    </row>
    <row r="85" customFormat="false" ht="15" hidden="false" customHeight="true" outlineLevel="0" collapsed="false">
      <c r="A85" s="14" t="s">
        <v>1212</v>
      </c>
      <c r="B85" s="19" t="n">
        <f aca="false">Cap_12!$B$20-Impresa_guida!$B$14</f>
        <v>42</v>
      </c>
      <c r="C85" s="16" t="s">
        <v>126</v>
      </c>
      <c r="D85" s="20" t="n">
        <v>42</v>
      </c>
      <c r="E85" s="21" t="str">
        <f aca="false">IF(ABS(B85-D85)&lt;=0.5,"OK","DIVERSO")</f>
        <v>OK</v>
      </c>
      <c r="F85" s="16" t="s">
        <v>1002</v>
      </c>
    </row>
    <row r="86" customFormat="false" ht="15" hidden="false" customHeight="true" outlineLevel="0" collapsed="false">
      <c r="A86" s="14" t="s">
        <v>1213</v>
      </c>
      <c r="B86" s="19" t="n">
        <f aca="false">Cap_12!$B$22-Impresa_guida!$B$18</f>
        <v>51</v>
      </c>
      <c r="C86" s="16" t="s">
        <v>126</v>
      </c>
      <c r="D86" s="20" t="n">
        <v>51</v>
      </c>
      <c r="E86" s="21" t="str">
        <f aca="false">IF(ABS(B86-D86)&lt;=0.5,"OK","DIVERSO")</f>
        <v>OK</v>
      </c>
      <c r="F86" s="16" t="s">
        <v>1002</v>
      </c>
    </row>
    <row r="87" customFormat="false" ht="15" hidden="false" customHeight="true" outlineLevel="0" collapsed="false">
      <c r="A87" s="14" t="s">
        <v>1214</v>
      </c>
      <c r="B87" s="19" t="n">
        <f aca="false">Cap_13!$B$64*$B$84+Cap_13!$B$65*$B$85+Cap_13!$B$66*$B$86</f>
        <v>90000</v>
      </c>
      <c r="C87" s="16" t="s">
        <v>140</v>
      </c>
      <c r="D87" s="20" t="n">
        <v>90000</v>
      </c>
      <c r="E87" s="21" t="str">
        <f aca="false">IF(ABS(B87-D87)&lt;=0.5,"OK","DIVERSO")</f>
        <v>OK</v>
      </c>
      <c r="F87" s="16" t="s">
        <v>1002</v>
      </c>
    </row>
    <row r="88" customFormat="false" ht="15" hidden="false" customHeight="true" outlineLevel="0" collapsed="false">
      <c r="A88" s="14" t="s">
        <v>1215</v>
      </c>
      <c r="B88" s="19" t="n">
        <f aca="false">$B$87-Cap_13!$B$76</f>
        <v>20800</v>
      </c>
      <c r="C88" s="16" t="s">
        <v>140</v>
      </c>
      <c r="D88" s="20" t="n">
        <v>20800</v>
      </c>
      <c r="E88" s="21" t="str">
        <f aca="false">IF(ABS(B88-D88)&lt;=0.5,"OK","DIVERSO")</f>
        <v>OK</v>
      </c>
      <c r="F88" s="16" t="s">
        <v>1002</v>
      </c>
    </row>
    <row r="89" customFormat="false" ht="15" hidden="false" customHeight="true" outlineLevel="0" collapsed="false">
      <c r="A89" s="14" t="s">
        <v>1216</v>
      </c>
      <c r="B89" s="15" t="n">
        <v>600</v>
      </c>
      <c r="C89" s="16" t="s">
        <v>123</v>
      </c>
      <c r="D89" s="17"/>
      <c r="E89" s="17"/>
      <c r="F89" s="16" t="s">
        <v>1002</v>
      </c>
    </row>
    <row r="90" customFormat="false" ht="15" hidden="false" customHeight="true" outlineLevel="0" collapsed="false">
      <c r="A90" s="14" t="s">
        <v>1217</v>
      </c>
      <c r="B90" s="15" t="n">
        <v>1100</v>
      </c>
      <c r="C90" s="16" t="s">
        <v>123</v>
      </c>
      <c r="D90" s="17"/>
      <c r="E90" s="17"/>
      <c r="F90" s="16" t="s">
        <v>1002</v>
      </c>
    </row>
    <row r="91" customFormat="false" ht="15" hidden="false" customHeight="true" outlineLevel="0" collapsed="false">
      <c r="A91" s="14" t="s">
        <v>1218</v>
      </c>
      <c r="B91" s="15" t="n">
        <v>170</v>
      </c>
      <c r="C91" s="16" t="s">
        <v>123</v>
      </c>
      <c r="D91" s="17"/>
      <c r="E91" s="17"/>
      <c r="F91" s="16" t="s">
        <v>1002</v>
      </c>
    </row>
    <row r="92" customFormat="false" ht="15" hidden="false" customHeight="true" outlineLevel="0" collapsed="false">
      <c r="A92" s="14" t="s">
        <v>1219</v>
      </c>
      <c r="B92" s="15" t="n">
        <v>114</v>
      </c>
      <c r="C92" s="16" t="s">
        <v>126</v>
      </c>
      <c r="D92" s="17"/>
      <c r="E92" s="17"/>
      <c r="F92" s="16" t="s">
        <v>1002</v>
      </c>
    </row>
    <row r="93" customFormat="false" ht="15" hidden="false" customHeight="true" outlineLevel="0" collapsed="false">
      <c r="A93" s="14" t="s">
        <v>1220</v>
      </c>
      <c r="B93" s="15" t="n">
        <v>117</v>
      </c>
      <c r="C93" s="16" t="s">
        <v>126</v>
      </c>
      <c r="D93" s="17"/>
      <c r="E93" s="17"/>
      <c r="F93" s="16" t="s">
        <v>1002</v>
      </c>
    </row>
    <row r="94" customFormat="false" ht="15" hidden="false" customHeight="true" outlineLevel="0" collapsed="false">
      <c r="A94" s="14" t="s">
        <v>1221</v>
      </c>
      <c r="B94" s="15" t="n">
        <v>76</v>
      </c>
      <c r="C94" s="16" t="s">
        <v>126</v>
      </c>
      <c r="D94" s="17"/>
      <c r="E94" s="17"/>
      <c r="F94" s="16" t="s">
        <v>1002</v>
      </c>
    </row>
    <row r="95" customFormat="false" ht="15" hidden="false" customHeight="true" outlineLevel="0" collapsed="false">
      <c r="A95" s="14" t="s">
        <v>1222</v>
      </c>
      <c r="B95" s="15" t="n">
        <v>238</v>
      </c>
      <c r="C95" s="16" t="s">
        <v>126</v>
      </c>
      <c r="D95" s="17"/>
      <c r="E95" s="17"/>
      <c r="F95" s="16" t="s">
        <v>1002</v>
      </c>
    </row>
    <row r="96" customFormat="false" ht="15" hidden="false" customHeight="true" outlineLevel="0" collapsed="false">
      <c r="A96" s="14" t="s">
        <v>1223</v>
      </c>
      <c r="B96" s="15" t="n">
        <v>5516</v>
      </c>
      <c r="C96" s="16" t="s">
        <v>140</v>
      </c>
      <c r="D96" s="17"/>
      <c r="E96" s="17"/>
      <c r="F96" s="16" t="s">
        <v>1002</v>
      </c>
    </row>
    <row r="97" customFormat="false" ht="15" hidden="false" customHeight="true" outlineLevel="0" collapsed="false">
      <c r="A97" s="14" t="s">
        <v>1224</v>
      </c>
      <c r="B97" s="15" t="n">
        <v>62884</v>
      </c>
      <c r="C97" s="16" t="s">
        <v>140</v>
      </c>
      <c r="D97" s="17"/>
      <c r="E97" s="17"/>
      <c r="F97" s="16" t="s">
        <v>1002</v>
      </c>
    </row>
    <row r="98" customFormat="false" ht="15" hidden="false" customHeight="true" outlineLevel="0" collapsed="false">
      <c r="A98" s="14" t="s">
        <v>1225</v>
      </c>
      <c r="B98" s="19" t="n">
        <f aca="false">$B$89+$B$90+$B$91</f>
        <v>1870</v>
      </c>
      <c r="C98" s="16" t="s">
        <v>123</v>
      </c>
      <c r="D98" s="20" t="n">
        <v>1870</v>
      </c>
      <c r="E98" s="21" t="str">
        <f aca="false">IF(ABS(B98-D98)&lt;=0.5,"OK","DIVERSO")</f>
        <v>OK</v>
      </c>
      <c r="F98" s="16" t="s">
        <v>1002</v>
      </c>
    </row>
    <row r="99" customFormat="false" ht="15" hidden="false" customHeight="true" outlineLevel="0" collapsed="false">
      <c r="A99" s="14" t="s">
        <v>1226</v>
      </c>
      <c r="B99" s="19" t="n">
        <f aca="false">$B$89*Cap_12!$B$18+$B$90*$B$92+$B$91*Cap_12!$B$22</f>
        <v>282530</v>
      </c>
      <c r="C99" s="16" t="s">
        <v>140</v>
      </c>
      <c r="D99" s="20" t="n">
        <v>282530</v>
      </c>
      <c r="E99" s="21" t="str">
        <f aca="false">IF(ABS(B99-D99)&lt;=0.5,"OK","DIVERSO")</f>
        <v>OK</v>
      </c>
      <c r="F99" s="16" t="s">
        <v>1002</v>
      </c>
    </row>
    <row r="100" customFormat="false" ht="15" hidden="false" customHeight="true" outlineLevel="0" collapsed="false">
      <c r="A100" s="14" t="s">
        <v>1227</v>
      </c>
      <c r="B100" s="19" t="n">
        <f aca="false">$B$89*(Cap_12!$B$18-$B$93)+$B$90*($B$92-$B$94)+$B$91*(Cap_12!$B$22-$B$95)</f>
        <v>88270</v>
      </c>
      <c r="C100" s="16" t="s">
        <v>140</v>
      </c>
      <c r="D100" s="20" t="n">
        <v>88270</v>
      </c>
      <c r="E100" s="21" t="str">
        <f aca="false">IF(ABS(B100-D100)&lt;=0.5,"OK","DIVERSO")</f>
        <v>OK</v>
      </c>
      <c r="F100" s="16" t="s">
        <v>1002</v>
      </c>
    </row>
    <row r="101" customFormat="false" ht="15" hidden="false" customHeight="true" outlineLevel="0" collapsed="false">
      <c r="A101" s="14" t="s">
        <v>1228</v>
      </c>
      <c r="B101" s="19" t="n">
        <f aca="false">$B$97+$B$96</f>
        <v>68400</v>
      </c>
      <c r="C101" s="16" t="s">
        <v>140</v>
      </c>
      <c r="D101" s="20" t="n">
        <v>68400</v>
      </c>
      <c r="E101" s="21" t="str">
        <f aca="false">IF(ABS(B101-D101)&lt;=0.5,"OK","DIVERSO")</f>
        <v>OK</v>
      </c>
      <c r="F101" s="16" t="s">
        <v>1002</v>
      </c>
    </row>
    <row r="102" customFormat="false" ht="15" hidden="false" customHeight="true" outlineLevel="0" collapsed="false">
      <c r="A102" s="14" t="s">
        <v>1229</v>
      </c>
      <c r="B102" s="19" t="n">
        <f aca="false">$B$100-$B$101</f>
        <v>19870</v>
      </c>
      <c r="C102" s="16" t="s">
        <v>140</v>
      </c>
      <c r="D102" s="20" t="n">
        <v>19870</v>
      </c>
      <c r="E102" s="21" t="str">
        <f aca="false">IF(ABS(B102-D102)&lt;=0.5,"OK","DIVERSO")</f>
        <v>OK</v>
      </c>
      <c r="F102" s="16" t="s">
        <v>1002</v>
      </c>
    </row>
    <row r="103" customFormat="false" ht="15" hidden="false" customHeight="true" outlineLevel="0" collapsed="false">
      <c r="A103" s="14" t="s">
        <v>1230</v>
      </c>
      <c r="B103" s="19" t="n">
        <f aca="false">$B$102-$B$88</f>
        <v>-930</v>
      </c>
      <c r="C103" s="16" t="s">
        <v>140</v>
      </c>
      <c r="D103" s="20" t="n">
        <v>-930</v>
      </c>
      <c r="E103" s="21" t="str">
        <f aca="false">IF(ABS(B103-D103)&lt;=0.5,"OK","DIVERSO")</f>
        <v>OK</v>
      </c>
      <c r="F103" s="16" t="s">
        <v>1002</v>
      </c>
    </row>
    <row r="104" customFormat="false" ht="15" hidden="false" customHeight="true" outlineLevel="0" collapsed="false">
      <c r="A104" s="14" t="s">
        <v>1231</v>
      </c>
      <c r="B104" s="19" t="n">
        <f aca="false">$B$100-$B$87</f>
        <v>-1730</v>
      </c>
      <c r="C104" s="16" t="s">
        <v>140</v>
      </c>
      <c r="D104" s="20" t="n">
        <v>-1730</v>
      </c>
      <c r="E104" s="21" t="str">
        <f aca="false">IF(ABS(B104-D104)&lt;=0.5,"OK","DIVERSO")</f>
        <v>OK</v>
      </c>
      <c r="F104" s="16" t="s">
        <v>1232</v>
      </c>
    </row>
    <row r="105" customFormat="false" ht="15" hidden="false" customHeight="true" outlineLevel="0" collapsed="false">
      <c r="A105" s="14" t="s">
        <v>1233</v>
      </c>
      <c r="B105" s="26" t="n">
        <f aca="false">$B$87/Cap_13!$B$68</f>
        <v>0.317124735729387</v>
      </c>
      <c r="C105" s="16" t="s">
        <v>319</v>
      </c>
      <c r="D105" s="27" t="n">
        <v>0.317</v>
      </c>
      <c r="E105" s="21" t="str">
        <f aca="false">IF(ABS(B105-D105)&lt;=0.0005,"OK","DIVERSO")</f>
        <v>OK</v>
      </c>
      <c r="F105" s="16" t="s">
        <v>1232</v>
      </c>
    </row>
    <row r="106" customFormat="false" ht="15" hidden="false" customHeight="true" outlineLevel="0" collapsed="false">
      <c r="A106" s="14" t="s">
        <v>1234</v>
      </c>
      <c r="B106" s="26" t="n">
        <f aca="false">$B$100/$B$99</f>
        <v>0.312426998902771</v>
      </c>
      <c r="C106" s="16" t="s">
        <v>319</v>
      </c>
      <c r="D106" s="27" t="n">
        <v>0.312</v>
      </c>
      <c r="E106" s="21" t="str">
        <f aca="false">IF(ABS(B106-D106)&lt;=0.0005,"OK","DIVERSO")</f>
        <v>OK</v>
      </c>
      <c r="F106" s="16" t="s">
        <v>1232</v>
      </c>
    </row>
    <row r="107" customFormat="false" ht="15" hidden="false" customHeight="true" outlineLevel="0" collapsed="false"/>
    <row r="108" customFormat="false" ht="15" hidden="false" customHeight="true" outlineLevel="0" collapsed="false">
      <c r="A108" s="13" t="s">
        <v>1235</v>
      </c>
      <c r="B108" s="13"/>
      <c r="C108" s="13"/>
      <c r="D108" s="13"/>
      <c r="E108" s="13"/>
      <c r="F108" s="13"/>
    </row>
    <row r="109" customFormat="false" ht="15" hidden="false" customHeight="true" outlineLevel="0" collapsed="false">
      <c r="A109" s="22" t="s">
        <v>1236</v>
      </c>
      <c r="B109" s="22"/>
      <c r="C109" s="22"/>
      <c r="D109" s="22"/>
      <c r="E109" s="22"/>
      <c r="F109" s="22"/>
    </row>
    <row r="110" customFormat="false" ht="15" hidden="false" customHeight="true" outlineLevel="0" collapsed="false">
      <c r="A110" s="6" t="s">
        <v>116</v>
      </c>
      <c r="B110" s="6" t="s">
        <v>117</v>
      </c>
      <c r="C110" s="6" t="s">
        <v>118</v>
      </c>
      <c r="D110" s="6" t="s">
        <v>119</v>
      </c>
      <c r="E110" s="6" t="s">
        <v>120</v>
      </c>
      <c r="F110" s="6" t="s">
        <v>121</v>
      </c>
    </row>
    <row r="111" customFormat="false" ht="15" hidden="false" customHeight="true" outlineLevel="0" collapsed="false">
      <c r="A111" s="14" t="s">
        <v>1237</v>
      </c>
      <c r="B111" s="19" t="n">
        <f aca="false">$B$89*Cap_12!$B$18+$B$90*Cap_12!$B$20+$B$91*Cap_12!$B$22</f>
        <v>286930</v>
      </c>
      <c r="C111" s="16" t="s">
        <v>140</v>
      </c>
      <c r="D111" s="20" t="n">
        <v>286930</v>
      </c>
      <c r="E111" s="21" t="str">
        <f aca="false">IF(ABS(B111-D111)&lt;=0.5,"OK","DIVERSO")</f>
        <v>OK</v>
      </c>
      <c r="F111" s="16" t="s">
        <v>1002</v>
      </c>
    </row>
    <row r="112" customFormat="false" ht="15" hidden="false" customHeight="true" outlineLevel="0" collapsed="false">
      <c r="A112" s="14" t="s">
        <v>1238</v>
      </c>
      <c r="B112" s="19" t="n">
        <f aca="false">$B$89*Impresa_guida!$B$10+$B$90*Impresa_guida!$B$14+$B$91*Impresa_guida!$B$18</f>
        <v>194260</v>
      </c>
      <c r="C112" s="16" t="s">
        <v>140</v>
      </c>
      <c r="D112" s="20" t="n">
        <v>194260</v>
      </c>
      <c r="E112" s="21" t="str">
        <f aca="false">IF(ABS(B112-D112)&lt;=0.5,"OK","DIVERSO")</f>
        <v>OK</v>
      </c>
      <c r="F112" s="16" t="s">
        <v>1002</v>
      </c>
    </row>
    <row r="113" customFormat="false" ht="15" hidden="false" customHeight="true" outlineLevel="0" collapsed="false">
      <c r="A113" s="14" t="s">
        <v>1239</v>
      </c>
      <c r="B113" s="19" t="n">
        <f aca="false">$B$111-$B$112</f>
        <v>92670</v>
      </c>
      <c r="C113" s="16" t="s">
        <v>140</v>
      </c>
      <c r="D113" s="20" t="n">
        <v>92670</v>
      </c>
      <c r="E113" s="21" t="str">
        <f aca="false">IF(ABS(B113-D113)&lt;=0.5,"OK","DIVERSO")</f>
        <v>OK</v>
      </c>
      <c r="F113" s="16" t="s">
        <v>1002</v>
      </c>
    </row>
    <row r="114" customFormat="false" ht="15" hidden="false" customHeight="true" outlineLevel="0" collapsed="false">
      <c r="A114" s="14" t="s">
        <v>1240</v>
      </c>
      <c r="B114" s="19" t="n">
        <f aca="false">$B$113-$B$87</f>
        <v>2670</v>
      </c>
      <c r="C114" s="16" t="s">
        <v>140</v>
      </c>
      <c r="D114" s="20" t="n">
        <v>2670</v>
      </c>
      <c r="E114" s="21" t="str">
        <f aca="false">IF(ABS(B114-D114)&lt;=0.5,"OK","DIVERSO")</f>
        <v>OK</v>
      </c>
      <c r="F114" s="16" t="s">
        <v>1002</v>
      </c>
    </row>
    <row r="115" customFormat="false" ht="15" hidden="false" customHeight="true" outlineLevel="0" collapsed="false">
      <c r="A115" s="14" t="s">
        <v>1241</v>
      </c>
      <c r="B115" s="19" t="n">
        <f aca="false">$B$87/Cap_13!$B$67</f>
        <v>50</v>
      </c>
      <c r="C115" s="16" t="s">
        <v>126</v>
      </c>
      <c r="D115" s="20" t="n">
        <v>50</v>
      </c>
      <c r="E115" s="21" t="str">
        <f aca="false">IF(ABS(B115-D115)&lt;=0.5,"OK","DIVERSO")</f>
        <v>OK</v>
      </c>
      <c r="F115" s="16" t="s">
        <v>1002</v>
      </c>
    </row>
    <row r="116" customFormat="false" ht="15" hidden="false" customHeight="true" outlineLevel="0" collapsed="false">
      <c r="A116" s="14" t="s">
        <v>1242</v>
      </c>
      <c r="B116" s="19" t="n">
        <f aca="false">$B$98*$B$115</f>
        <v>93500</v>
      </c>
      <c r="C116" s="16" t="s">
        <v>140</v>
      </c>
      <c r="D116" s="20" t="n">
        <v>93500</v>
      </c>
      <c r="E116" s="21" t="str">
        <f aca="false">IF(ABS(B116-D116)&lt;=0.5,"OK","DIVERSO")</f>
        <v>OK</v>
      </c>
      <c r="F116" s="16" t="s">
        <v>1002</v>
      </c>
    </row>
    <row r="117" customFormat="false" ht="15" hidden="false" customHeight="true" outlineLevel="0" collapsed="false">
      <c r="A117" s="14" t="s">
        <v>1243</v>
      </c>
      <c r="B117" s="19" t="n">
        <f aca="false">($B$98-Cap_13!$B$67)*$B$115</f>
        <v>3500</v>
      </c>
      <c r="C117" s="16" t="s">
        <v>140</v>
      </c>
      <c r="D117" s="20" t="n">
        <v>3500</v>
      </c>
      <c r="E117" s="21" t="str">
        <f aca="false">IF(ABS(B117-D117)&lt;=0.5,"OK","DIVERSO")</f>
        <v>OK</v>
      </c>
      <c r="F117" s="16" t="s">
        <v>1002</v>
      </c>
    </row>
    <row r="118" customFormat="false" ht="15" hidden="false" customHeight="true" outlineLevel="0" collapsed="false">
      <c r="A118" s="14" t="s">
        <v>1244</v>
      </c>
      <c r="B118" s="19" t="n">
        <f aca="false">($B$89-$B$98*Cap_13!$B$64/Cap_13!$B$67)*$B$84</f>
        <v>-1470</v>
      </c>
      <c r="C118" s="16" t="s">
        <v>140</v>
      </c>
      <c r="D118" s="17"/>
      <c r="E118" s="17"/>
      <c r="F118" s="16" t="s">
        <v>1002</v>
      </c>
    </row>
    <row r="119" customFormat="false" ht="15" hidden="false" customHeight="true" outlineLevel="0" collapsed="false">
      <c r="A119" s="14" t="s">
        <v>1245</v>
      </c>
      <c r="B119" s="19" t="n">
        <f aca="false">($B$90-$B$98*Cap_13!$B$65/Cap_13!$B$67)*$B$85</f>
        <v>2566.66666666667</v>
      </c>
      <c r="C119" s="16" t="s">
        <v>140</v>
      </c>
      <c r="D119" s="17"/>
      <c r="E119" s="17"/>
      <c r="F119" s="16" t="s">
        <v>1002</v>
      </c>
    </row>
    <row r="120" customFormat="false" ht="15" hidden="false" customHeight="true" outlineLevel="0" collapsed="false">
      <c r="A120" s="14" t="s">
        <v>1246</v>
      </c>
      <c r="B120" s="19" t="n">
        <f aca="false">($B$91-$B$98*Cap_13!$B$66/Cap_13!$B$67)*$B$86</f>
        <v>-1926.66666666667</v>
      </c>
      <c r="C120" s="16" t="s">
        <v>140</v>
      </c>
      <c r="D120" s="17"/>
      <c r="E120" s="17"/>
      <c r="F120" s="16" t="s">
        <v>1002</v>
      </c>
    </row>
    <row r="121" customFormat="false" ht="15" hidden="false" customHeight="true" outlineLevel="0" collapsed="false">
      <c r="A121" s="14" t="s">
        <v>1247</v>
      </c>
      <c r="B121" s="19" t="n">
        <f aca="false">$B$118+$B$119+$B$120</f>
        <v>-830.000000000003</v>
      </c>
      <c r="C121" s="16" t="s">
        <v>140</v>
      </c>
      <c r="D121" s="20" t="n">
        <v>-830</v>
      </c>
      <c r="E121" s="21" t="str">
        <f aca="false">IF(ABS(B121-D121)&lt;=0.5,"OK","DIVERSO")</f>
        <v>OK</v>
      </c>
      <c r="F121" s="16" t="s">
        <v>1002</v>
      </c>
    </row>
    <row r="122" customFormat="false" ht="15" hidden="false" customHeight="true" outlineLevel="0" collapsed="false">
      <c r="A122" s="14" t="s">
        <v>1248</v>
      </c>
      <c r="B122" s="28" t="str">
        <f aca="false">IF(ABS($B$121-($B$113-$B$116))&lt;0.01,"Quadra","Non quadra")</f>
        <v>Quadra</v>
      </c>
      <c r="C122" s="16"/>
      <c r="D122" s="29" t="s">
        <v>1035</v>
      </c>
      <c r="E122" s="21" t="str">
        <f aca="false">IF(B122=D122,"OK","DIVERSO")</f>
        <v>OK</v>
      </c>
      <c r="F122" s="16" t="s">
        <v>1002</v>
      </c>
    </row>
    <row r="123" customFormat="false" ht="15" hidden="false" customHeight="true" outlineLevel="0" collapsed="false"/>
    <row r="124" customFormat="false" ht="15" hidden="false" customHeight="true" outlineLevel="0" collapsed="false">
      <c r="A124" s="13" t="s">
        <v>1249</v>
      </c>
      <c r="B124" s="13"/>
      <c r="C124" s="13"/>
      <c r="D124" s="13"/>
      <c r="E124" s="13"/>
      <c r="F124" s="13"/>
    </row>
    <row r="125" customFormat="false" ht="15" hidden="false" customHeight="true" outlineLevel="0" collapsed="false">
      <c r="A125" s="22" t="s">
        <v>1250</v>
      </c>
      <c r="B125" s="22"/>
      <c r="C125" s="22"/>
      <c r="D125" s="22"/>
      <c r="E125" s="22"/>
      <c r="F125" s="22"/>
    </row>
    <row r="126" customFormat="false" ht="15" hidden="false" customHeight="true" outlineLevel="0" collapsed="false">
      <c r="A126" s="6" t="s">
        <v>116</v>
      </c>
      <c r="B126" s="6" t="s">
        <v>117</v>
      </c>
      <c r="C126" s="6" t="s">
        <v>118</v>
      </c>
      <c r="D126" s="6" t="s">
        <v>119</v>
      </c>
      <c r="E126" s="6" t="s">
        <v>120</v>
      </c>
      <c r="F126" s="6" t="s">
        <v>121</v>
      </c>
    </row>
    <row r="127" customFormat="false" ht="15" hidden="false" customHeight="true" outlineLevel="0" collapsed="false">
      <c r="A127" s="14" t="s">
        <v>1251</v>
      </c>
      <c r="B127" s="19" t="n">
        <f aca="false">($B$92-Cap_12!$B$20)*$B$90</f>
        <v>-4400</v>
      </c>
      <c r="C127" s="16" t="s">
        <v>140</v>
      </c>
      <c r="D127" s="20" t="n">
        <v>-4400</v>
      </c>
      <c r="E127" s="21" t="str">
        <f aca="false">IF(ABS(B127-D127)&lt;=0.5,"OK","DIVERSO")</f>
        <v>OK</v>
      </c>
      <c r="F127" s="16" t="s">
        <v>1002</v>
      </c>
    </row>
    <row r="128" customFormat="false" ht="15" hidden="false" customHeight="true" outlineLevel="0" collapsed="false">
      <c r="A128" s="14" t="s">
        <v>1252</v>
      </c>
      <c r="B128" s="19" t="n">
        <f aca="false">(Impresa_guida!$B$10-$B$93)*$B$89+(Impresa_guida!$B$14-$B$94)*$B$90+(Impresa_guida!$B$18-$B$95)*$B$91</f>
        <v>0</v>
      </c>
      <c r="C128" s="16" t="s">
        <v>140</v>
      </c>
      <c r="D128" s="20" t="n">
        <v>0</v>
      </c>
      <c r="E128" s="21" t="str">
        <f aca="false">IF(ABS(B128-D128)&lt;=0.5,"OK","DIVERSO")</f>
        <v>OK</v>
      </c>
      <c r="F128" s="16" t="s">
        <v>1002</v>
      </c>
    </row>
    <row r="129" customFormat="false" ht="15" hidden="false" customHeight="true" outlineLevel="0" collapsed="false">
      <c r="A129" s="14" t="s">
        <v>1199</v>
      </c>
      <c r="B129" s="19" t="n">
        <f aca="false">$B$89*Impresa_guida!$B$11+$B$90*Impresa_guida!$B$15+$B$91*Impresa_guida!$B$19</f>
        <v>1960</v>
      </c>
      <c r="C129" s="16" t="s">
        <v>144</v>
      </c>
      <c r="D129" s="20" t="n">
        <v>1960</v>
      </c>
      <c r="E129" s="21" t="str">
        <f aca="false">IF(ABS(B129-D129)&lt;=0.5,"OK","DIVERSO")</f>
        <v>OK</v>
      </c>
      <c r="F129" s="16" t="s">
        <v>1002</v>
      </c>
    </row>
    <row r="130" customFormat="false" ht="15" hidden="false" customHeight="true" outlineLevel="0" collapsed="false">
      <c r="A130" s="14" t="s">
        <v>1253</v>
      </c>
      <c r="B130" s="19" t="n">
        <f aca="false">MAX($B$129-Cap_13!$B$63,0)</f>
        <v>210</v>
      </c>
      <c r="C130" s="16" t="s">
        <v>144</v>
      </c>
      <c r="D130" s="20" t="n">
        <v>210</v>
      </c>
      <c r="E130" s="21" t="str">
        <f aca="false">IF(ABS(B130-D130)&lt;=0.5,"OK","DIVERSO")</f>
        <v>OK</v>
      </c>
      <c r="F130" s="16" t="s">
        <v>1002</v>
      </c>
    </row>
    <row r="131" customFormat="false" ht="15" hidden="false" customHeight="true" outlineLevel="0" collapsed="false">
      <c r="A131" s="14" t="s">
        <v>1254</v>
      </c>
      <c r="B131" s="19" t="n">
        <f aca="false">$B$130*Impresa_guida!$B$27</f>
        <v>5880</v>
      </c>
      <c r="C131" s="16" t="s">
        <v>140</v>
      </c>
      <c r="D131" s="20" t="n">
        <v>5880</v>
      </c>
      <c r="E131" s="21" t="str">
        <f aca="false">IF(ABS(B131-D131)&lt;=0.5,"OK","DIVERSO")</f>
        <v>OK</v>
      </c>
      <c r="F131" s="16" t="s">
        <v>1002</v>
      </c>
    </row>
    <row r="132" customFormat="false" ht="15" hidden="false" customHeight="true" outlineLevel="0" collapsed="false">
      <c r="A132" s="14" t="s">
        <v>1255</v>
      </c>
      <c r="B132" s="15" t="n">
        <v>1947</v>
      </c>
      <c r="C132" s="16" t="s">
        <v>144</v>
      </c>
      <c r="D132" s="17"/>
      <c r="E132" s="17"/>
      <c r="F132" s="16" t="s">
        <v>1002</v>
      </c>
    </row>
    <row r="133" customFormat="false" ht="15" hidden="false" customHeight="true" outlineLevel="0" collapsed="false">
      <c r="A133" s="14" t="s">
        <v>1256</v>
      </c>
      <c r="B133" s="15" t="n">
        <v>197</v>
      </c>
      <c r="C133" s="16" t="s">
        <v>144</v>
      </c>
      <c r="D133" s="17"/>
      <c r="E133" s="17"/>
      <c r="F133" s="16" t="s">
        <v>1002</v>
      </c>
    </row>
    <row r="134" customFormat="false" ht="15" hidden="false" customHeight="true" outlineLevel="0" collapsed="false">
      <c r="A134" s="14" t="s">
        <v>1257</v>
      </c>
      <c r="B134" s="19" t="n">
        <f aca="false">Cap_13!$B$74-$B$96</f>
        <v>1484</v>
      </c>
      <c r="C134" s="16" t="s">
        <v>140</v>
      </c>
      <c r="D134" s="20" t="n">
        <v>1484</v>
      </c>
      <c r="E134" s="21" t="str">
        <f aca="false">IF(ABS(B134-D134)&lt;=0.5,"OK","DIVERSO")</f>
        <v>OK</v>
      </c>
      <c r="F134" s="16" t="s">
        <v>1002</v>
      </c>
    </row>
    <row r="135" customFormat="false" ht="15" hidden="false" customHeight="true" outlineLevel="0" collapsed="false">
      <c r="A135" s="14" t="s">
        <v>1258</v>
      </c>
      <c r="B135" s="19" t="n">
        <f aca="false">(Cap_13!$B$73-$B$130)*Impresa_guida!$B$27</f>
        <v>1120</v>
      </c>
      <c r="C135" s="16" t="s">
        <v>140</v>
      </c>
      <c r="D135" s="20" t="n">
        <v>1120</v>
      </c>
      <c r="E135" s="21" t="str">
        <f aca="false">IF(ABS(B135-D135)&lt;=0.5,"OK","DIVERSO")</f>
        <v>OK</v>
      </c>
      <c r="F135" s="16" t="s">
        <v>1002</v>
      </c>
    </row>
    <row r="136" customFormat="false" ht="15" hidden="false" customHeight="true" outlineLevel="0" collapsed="false">
      <c r="A136" s="14" t="s">
        <v>1259</v>
      </c>
      <c r="B136" s="19" t="n">
        <f aca="false">$B$129-$B$132</f>
        <v>13</v>
      </c>
      <c r="C136" s="16" t="s">
        <v>144</v>
      </c>
      <c r="D136" s="20" t="n">
        <v>13</v>
      </c>
      <c r="E136" s="21" t="str">
        <f aca="false">IF(ABS(B136-D136)&lt;=0.5,"OK","DIVERSO")</f>
        <v>OK</v>
      </c>
      <c r="F136" s="16" t="s">
        <v>1002</v>
      </c>
    </row>
    <row r="137" customFormat="false" ht="15" hidden="false" customHeight="true" outlineLevel="0" collapsed="false">
      <c r="A137" s="14" t="s">
        <v>1260</v>
      </c>
      <c r="B137" s="26" t="n">
        <f aca="false">$B$136/$B$129</f>
        <v>0.00663265306122449</v>
      </c>
      <c r="C137" s="16" t="s">
        <v>319</v>
      </c>
      <c r="D137" s="27" t="n">
        <v>0.007</v>
      </c>
      <c r="E137" s="21" t="str">
        <f aca="false">IF(ABS(B137-D137)&lt;=0.0005,"OK","DIVERSO")</f>
        <v>OK</v>
      </c>
      <c r="F137" s="16" t="s">
        <v>1002</v>
      </c>
    </row>
    <row r="138" customFormat="false" ht="15" hidden="false" customHeight="true" outlineLevel="0" collapsed="false">
      <c r="A138" s="14" t="s">
        <v>1261</v>
      </c>
      <c r="B138" s="19" t="n">
        <f aca="false">$B$96/$B$133</f>
        <v>28</v>
      </c>
      <c r="C138" s="16" t="s">
        <v>146</v>
      </c>
      <c r="D138" s="20" t="n">
        <v>28</v>
      </c>
      <c r="E138" s="21" t="str">
        <f aca="false">IF(ABS(B138-D138)&lt;=0.5,"OK","DIVERSO")</f>
        <v>OK</v>
      </c>
      <c r="F138" s="16" t="s">
        <v>1002</v>
      </c>
    </row>
    <row r="139" customFormat="false" ht="15" hidden="false" customHeight="true" outlineLevel="0" collapsed="false">
      <c r="A139" s="14" t="s">
        <v>1262</v>
      </c>
      <c r="B139" s="19" t="n">
        <f aca="false">($B$138-Impresa_guida!$B$27)*$B$133</f>
        <v>0</v>
      </c>
      <c r="C139" s="16" t="s">
        <v>140</v>
      </c>
      <c r="D139" s="20" t="n">
        <v>0</v>
      </c>
      <c r="E139" s="21" t="str">
        <f aca="false">IF(ABS(B139-D139)&lt;=0.5,"OK","DIVERSO")</f>
        <v>OK</v>
      </c>
      <c r="F139" s="16" t="s">
        <v>1002</v>
      </c>
    </row>
    <row r="140" customFormat="false" ht="15" hidden="false" customHeight="true" outlineLevel="0" collapsed="false">
      <c r="A140" s="14" t="s">
        <v>1263</v>
      </c>
      <c r="B140" s="19" t="n">
        <f aca="false">($B$133-$B$130)*Impresa_guida!$B$27</f>
        <v>-364</v>
      </c>
      <c r="C140" s="16" t="s">
        <v>140</v>
      </c>
      <c r="D140" s="20" t="n">
        <v>-364</v>
      </c>
      <c r="E140" s="21" t="str">
        <f aca="false">IF(ABS(B140-D140)&lt;=0.5,"OK","DIVERSO")</f>
        <v>OK</v>
      </c>
      <c r="F140" s="16" t="s">
        <v>1002</v>
      </c>
    </row>
    <row r="141" customFormat="false" ht="15" hidden="false" customHeight="true" outlineLevel="0" collapsed="false">
      <c r="A141" s="14" t="s">
        <v>1264</v>
      </c>
      <c r="B141" s="19" t="n">
        <f aca="false">$B$135-$B$139-$B$140</f>
        <v>1484</v>
      </c>
      <c r="C141" s="16" t="s">
        <v>140</v>
      </c>
      <c r="D141" s="20" t="n">
        <v>1484</v>
      </c>
      <c r="E141" s="21" t="str">
        <f aca="false">IF(ABS(B141-D141)&lt;=0.5,"OK","DIVERSO")</f>
        <v>OK</v>
      </c>
      <c r="F141" s="16" t="s">
        <v>1002</v>
      </c>
    </row>
    <row r="142" customFormat="false" ht="15" hidden="false" customHeight="true" outlineLevel="0" collapsed="false"/>
    <row r="143" customFormat="false" ht="15" hidden="false" customHeight="true" outlineLevel="0" collapsed="false">
      <c r="A143" s="13" t="s">
        <v>1265</v>
      </c>
      <c r="B143" s="13"/>
      <c r="C143" s="13"/>
      <c r="D143" s="13"/>
      <c r="E143" s="13"/>
      <c r="F143" s="13"/>
    </row>
    <row r="144" customFormat="false" ht="15" hidden="false" customHeight="true" outlineLevel="0" collapsed="false">
      <c r="A144" s="22" t="s">
        <v>1266</v>
      </c>
      <c r="B144" s="22"/>
      <c r="C144" s="22"/>
      <c r="D144" s="22"/>
      <c r="E144" s="22"/>
      <c r="F144" s="22"/>
    </row>
    <row r="145" customFormat="false" ht="15" hidden="false" customHeight="true" outlineLevel="0" collapsed="false">
      <c r="A145" s="6" t="s">
        <v>116</v>
      </c>
      <c r="B145" s="6" t="s">
        <v>117</v>
      </c>
      <c r="C145" s="6" t="s">
        <v>118</v>
      </c>
      <c r="D145" s="6" t="s">
        <v>119</v>
      </c>
      <c r="E145" s="6" t="s">
        <v>120</v>
      </c>
      <c r="F145" s="6" t="s">
        <v>121</v>
      </c>
    </row>
    <row r="146" customFormat="false" ht="15" hidden="false" customHeight="true" outlineLevel="0" collapsed="false">
      <c r="A146" s="14" t="s">
        <v>1267</v>
      </c>
      <c r="B146" s="19" t="n">
        <f aca="false">-($B$97-Cap_13!$B$75)</f>
        <v>-684</v>
      </c>
      <c r="C146" s="16" t="s">
        <v>140</v>
      </c>
      <c r="D146" s="20" t="n">
        <v>-684</v>
      </c>
      <c r="E146" s="21" t="str">
        <f aca="false">IF(ABS(B146-D146)&lt;=0.5,"OK","DIVERSO")</f>
        <v>OK</v>
      </c>
      <c r="F146" s="16" t="s">
        <v>1002</v>
      </c>
    </row>
    <row r="147" customFormat="false" ht="15" hidden="false" customHeight="true" outlineLevel="0" collapsed="false">
      <c r="A147" s="14" t="s">
        <v>1268</v>
      </c>
      <c r="B147" s="19" t="n">
        <f aca="false">$B$117+$B$121+$B$127+$B$128+$B$134+$B$146</f>
        <v>-930.000000000003</v>
      </c>
      <c r="C147" s="16" t="s">
        <v>140</v>
      </c>
      <c r="D147" s="20" t="n">
        <v>-930</v>
      </c>
      <c r="E147" s="21" t="str">
        <f aca="false">IF(ABS(B147-D147)&lt;=0.5,"OK","DIVERSO")</f>
        <v>OK</v>
      </c>
      <c r="F147" s="16" t="s">
        <v>1002</v>
      </c>
    </row>
    <row r="148" customFormat="false" ht="15" hidden="false" customHeight="true" outlineLevel="0" collapsed="false">
      <c r="A148" s="14" t="s">
        <v>1269</v>
      </c>
      <c r="B148" s="28" t="str">
        <f aca="false">IF(ABS($B$147-$B$103)&lt;0.01,"Quadra","Non quadra")</f>
        <v>Quadra</v>
      </c>
      <c r="C148" s="16"/>
      <c r="D148" s="29" t="s">
        <v>1035</v>
      </c>
      <c r="E148" s="21" t="str">
        <f aca="false">IF(B148=D148,"OK","DIVERSO")</f>
        <v>OK</v>
      </c>
      <c r="F148" s="16" t="s">
        <v>1002</v>
      </c>
    </row>
    <row r="149" customFormat="false" ht="15" hidden="false" customHeight="true" outlineLevel="0" collapsed="false">
      <c r="A149" s="14" t="s">
        <v>1270</v>
      </c>
      <c r="B149" s="19" t="n">
        <f aca="false">($B$90-Cap_13!$B$65)*Cap_12!$B$20</f>
        <v>11800</v>
      </c>
      <c r="C149" s="16" t="s">
        <v>140</v>
      </c>
      <c r="D149" s="20" t="n">
        <v>11800</v>
      </c>
      <c r="E149" s="21" t="str">
        <f aca="false">IF(ABS(B149-D149)&lt;=0.5,"OK","DIVERSO")</f>
        <v>OK</v>
      </c>
      <c r="F149" s="16" t="s">
        <v>1002</v>
      </c>
    </row>
    <row r="150" customFormat="false" ht="15" hidden="false" customHeight="true" outlineLevel="0" collapsed="false">
      <c r="A150" s="14" t="s">
        <v>1271</v>
      </c>
      <c r="B150" s="19" t="n">
        <f aca="false">($B$91-Cap_13!$B$66)*Cap_12!$B$22</f>
        <v>-8670</v>
      </c>
      <c r="C150" s="16" t="s">
        <v>140</v>
      </c>
      <c r="D150" s="20" t="n">
        <v>-8670</v>
      </c>
      <c r="E150" s="21" t="str">
        <f aca="false">IF(ABS(B150-D150)&lt;=0.5,"OK","DIVERSO")</f>
        <v>OK</v>
      </c>
      <c r="F150" s="16" t="s">
        <v>1002</v>
      </c>
    </row>
    <row r="151" customFormat="false" ht="15" hidden="false" customHeight="true" outlineLevel="0" collapsed="false">
      <c r="A151" s="14" t="s">
        <v>1272</v>
      </c>
      <c r="B151" s="19" t="n">
        <f aca="false">($B$89-Cap_13!$B$64)*Cap_12!$B$18</f>
        <v>0</v>
      </c>
      <c r="C151" s="16" t="s">
        <v>140</v>
      </c>
      <c r="D151" s="20" t="n">
        <v>0</v>
      </c>
      <c r="E151" s="21" t="str">
        <f aca="false">IF(ABS(B151-D151)&lt;=0.5,"OK","DIVERSO")</f>
        <v>OK</v>
      </c>
      <c r="F151" s="16" t="s">
        <v>1002</v>
      </c>
    </row>
    <row r="152" customFormat="false" ht="15" hidden="false" customHeight="true" outlineLevel="0" collapsed="false">
      <c r="A152" s="14" t="s">
        <v>1273</v>
      </c>
      <c r="B152" s="19" t="n">
        <f aca="false">$B$151+$B$149+$B$150+$B$127</f>
        <v>-1270</v>
      </c>
      <c r="C152" s="16" t="s">
        <v>140</v>
      </c>
      <c r="D152" s="20" t="n">
        <v>-1270</v>
      </c>
      <c r="E152" s="21" t="str">
        <f aca="false">IF(ABS(B152-D152)&lt;=0.5,"OK","DIVERSO")</f>
        <v>OK</v>
      </c>
      <c r="F152" s="16" t="s">
        <v>1002</v>
      </c>
    </row>
    <row r="153" customFormat="false" ht="15" hidden="false" customHeight="true" outlineLevel="0" collapsed="false">
      <c r="A153" s="14" t="s">
        <v>1274</v>
      </c>
      <c r="B153" s="28" t="str">
        <f aca="false">IF(ABS($B$152-($B$99-Cap_13!$B$68))&lt;0.01,"Quadra","Non quadra")</f>
        <v>Quadra</v>
      </c>
      <c r="C153" s="16"/>
      <c r="D153" s="29" t="s">
        <v>1035</v>
      </c>
      <c r="E153" s="21" t="str">
        <f aca="false">IF(B153=D153,"OK","DIVERSO")</f>
        <v>OK</v>
      </c>
      <c r="F153" s="16" t="s">
        <v>1002</v>
      </c>
    </row>
    <row r="154" customFormat="false" ht="15" hidden="false" customHeight="true" outlineLevel="0" collapsed="false"/>
    <row r="155" customFormat="false" ht="15" hidden="false" customHeight="true" outlineLevel="0" collapsed="false">
      <c r="A155" s="13" t="s">
        <v>1275</v>
      </c>
      <c r="B155" s="13"/>
      <c r="C155" s="13"/>
      <c r="D155" s="13"/>
      <c r="E155" s="13"/>
      <c r="F155" s="13"/>
    </row>
    <row r="156" customFormat="false" ht="30" hidden="false" customHeight="true" outlineLevel="0" collapsed="false">
      <c r="A156" s="22" t="s">
        <v>1276</v>
      </c>
      <c r="B156" s="22"/>
      <c r="C156" s="22"/>
      <c r="D156" s="22"/>
      <c r="E156" s="22"/>
      <c r="F156" s="22"/>
    </row>
    <row r="157" customFormat="false" ht="15" hidden="false" customHeight="true" outlineLevel="0" collapsed="false">
      <c r="A157" s="6" t="s">
        <v>116</v>
      </c>
      <c r="B157" s="6" t="s">
        <v>117</v>
      </c>
      <c r="C157" s="6" t="s">
        <v>118</v>
      </c>
      <c r="D157" s="6" t="s">
        <v>119</v>
      </c>
      <c r="E157" s="6" t="s">
        <v>120</v>
      </c>
      <c r="F157" s="6" t="s">
        <v>121</v>
      </c>
    </row>
    <row r="158" customFormat="false" ht="15" hidden="false" customHeight="true" outlineLevel="0" collapsed="false">
      <c r="A158" s="14" t="s">
        <v>1277</v>
      </c>
      <c r="B158" s="19" t="n">
        <f aca="false">Cap_13!$B$72*Cap_13!$B$93</f>
        <v>10000</v>
      </c>
      <c r="C158" s="16" t="s">
        <v>140</v>
      </c>
      <c r="D158" s="20" t="n">
        <v>10000</v>
      </c>
      <c r="E158" s="21" t="str">
        <f aca="false">IF(ABS(B158-D158)&lt;=0.5,"OK","DIVERSO")</f>
        <v>OK</v>
      </c>
      <c r="F158" s="16" t="s">
        <v>1002</v>
      </c>
    </row>
    <row r="159" customFormat="false" ht="15" hidden="false" customHeight="true" outlineLevel="0" collapsed="false">
      <c r="A159" s="14" t="s">
        <v>1278</v>
      </c>
      <c r="B159" s="19" t="n">
        <f aca="false">$B$89*Impresa_guida!$B$11*Cap_13!$B$93</f>
        <v>4500</v>
      </c>
      <c r="C159" s="16" t="s">
        <v>140</v>
      </c>
      <c r="D159" s="20" t="n">
        <v>4500</v>
      </c>
      <c r="E159" s="21" t="str">
        <f aca="false">IF(ABS(B159-D159)&lt;=0.5,"OK","DIVERSO")</f>
        <v>OK</v>
      </c>
      <c r="F159" s="16" t="s">
        <v>1002</v>
      </c>
    </row>
    <row r="160" customFormat="false" ht="15" hidden="false" customHeight="true" outlineLevel="0" collapsed="false">
      <c r="A160" s="14" t="s">
        <v>1279</v>
      </c>
      <c r="B160" s="19" t="n">
        <f aca="false">$B$90*Impresa_guida!$B$15*Cap_13!$B$93</f>
        <v>2750</v>
      </c>
      <c r="C160" s="16" t="s">
        <v>140</v>
      </c>
      <c r="D160" s="20" t="n">
        <v>2750</v>
      </c>
      <c r="E160" s="21" t="str">
        <f aca="false">IF(ABS(B160-D160)&lt;=0.5,"OK","DIVERSO")</f>
        <v>OK</v>
      </c>
      <c r="F160" s="16" t="s">
        <v>1002</v>
      </c>
    </row>
    <row r="161" customFormat="false" ht="15" hidden="false" customHeight="true" outlineLevel="0" collapsed="false">
      <c r="A161" s="14" t="s">
        <v>1280</v>
      </c>
      <c r="B161" s="19" t="n">
        <f aca="false">$B$91*Impresa_guida!$B$19*Cap_13!$B$93</f>
        <v>2550</v>
      </c>
      <c r="C161" s="16" t="s">
        <v>140</v>
      </c>
      <c r="D161" s="20" t="n">
        <v>2550</v>
      </c>
      <c r="E161" s="21" t="str">
        <f aca="false">IF(ABS(B161-D161)&lt;=0.5,"OK","DIVERSO")</f>
        <v>OK</v>
      </c>
      <c r="F161" s="16" t="s">
        <v>1002</v>
      </c>
    </row>
    <row r="162" customFormat="false" ht="15" hidden="false" customHeight="true" outlineLevel="0" collapsed="false">
      <c r="A162" s="14" t="s">
        <v>1281</v>
      </c>
      <c r="B162" s="19" t="n">
        <f aca="false">$B$159+$B$160+$B$161</f>
        <v>9800</v>
      </c>
      <c r="C162" s="16" t="s">
        <v>140</v>
      </c>
      <c r="D162" s="20" t="n">
        <v>9800</v>
      </c>
      <c r="E162" s="21" t="str">
        <f aca="false">IF(ABS(B162-D162)&lt;=0.5,"OK","DIVERSO")</f>
        <v>OK</v>
      </c>
      <c r="F162" s="16" t="s">
        <v>1002</v>
      </c>
    </row>
    <row r="163" customFormat="false" ht="15" hidden="false" customHeight="true" outlineLevel="0" collapsed="false">
      <c r="A163" s="14" t="s">
        <v>1282</v>
      </c>
      <c r="B163" s="19" t="n">
        <f aca="false">($B$129-Cap_13!$B$72)*Cap_13!$B$93</f>
        <v>-200</v>
      </c>
      <c r="C163" s="16" t="s">
        <v>140</v>
      </c>
      <c r="D163" s="20" t="n">
        <v>-200</v>
      </c>
      <c r="E163" s="21" t="str">
        <f aca="false">IF(ABS(B163-D163)&lt;=0.5,"OK","DIVERSO")</f>
        <v>OK</v>
      </c>
      <c r="F163" s="16" t="s">
        <v>1002</v>
      </c>
    </row>
    <row r="164" customFormat="false" ht="15" hidden="false" customHeight="true" outlineLevel="0" collapsed="false">
      <c r="A164" s="14" t="s">
        <v>1283</v>
      </c>
      <c r="B164" s="32" t="n">
        <f aca="false">$B$84-Impresa_guida!$B$11*Cap_13!$B$93</f>
        <v>55.5</v>
      </c>
      <c r="C164" s="16" t="s">
        <v>126</v>
      </c>
      <c r="D164" s="33" t="n">
        <v>55.5</v>
      </c>
      <c r="E164" s="21" t="str">
        <f aca="false">IF(ABS(B164-D164)&lt;=0.5,"OK","DIVERSO")</f>
        <v>OK</v>
      </c>
      <c r="F164" s="16" t="s">
        <v>1002</v>
      </c>
    </row>
    <row r="165" customFormat="false" ht="15" hidden="false" customHeight="true" outlineLevel="0" collapsed="false">
      <c r="A165" s="14" t="s">
        <v>1284</v>
      </c>
      <c r="B165" s="32" t="n">
        <f aca="false">$B$85-Impresa_guida!$B$15*Cap_13!$B$93</f>
        <v>39.5</v>
      </c>
      <c r="C165" s="16" t="s">
        <v>126</v>
      </c>
      <c r="D165" s="33" t="n">
        <v>39.5</v>
      </c>
      <c r="E165" s="21" t="str">
        <f aca="false">IF(ABS(B165-D165)&lt;=0.5,"OK","DIVERSO")</f>
        <v>OK</v>
      </c>
      <c r="F165" s="16" t="s">
        <v>1002</v>
      </c>
    </row>
    <row r="166" customFormat="false" ht="15" hidden="false" customHeight="true" outlineLevel="0" collapsed="false">
      <c r="A166" s="14" t="s">
        <v>1285</v>
      </c>
      <c r="B166" s="19" t="n">
        <f aca="false">$B$86-Impresa_guida!$B$19*Cap_13!$B$93</f>
        <v>36</v>
      </c>
      <c r="C166" s="16" t="s">
        <v>126</v>
      </c>
      <c r="D166" s="20" t="n">
        <v>36</v>
      </c>
      <c r="E166" s="21" t="str">
        <f aca="false">IF(ABS(B166-D166)&lt;=0.5,"OK","DIVERSO")</f>
        <v>OK</v>
      </c>
      <c r="F166" s="16" t="s">
        <v>1002</v>
      </c>
    </row>
    <row r="167" customFormat="false" ht="15" hidden="false" customHeight="true" outlineLevel="0" collapsed="false">
      <c r="A167" s="14" t="s">
        <v>1286</v>
      </c>
      <c r="B167" s="19" t="n">
        <f aca="false">($B$89-Cap_13!$B$64)*$B$164+($B$90-Cap_13!$B$65)*$B$165+($B$91-Cap_13!$B$66)*$B$166</f>
        <v>2870</v>
      </c>
      <c r="C167" s="16" t="s">
        <v>140</v>
      </c>
      <c r="D167" s="20" t="n">
        <v>2870</v>
      </c>
      <c r="E167" s="21" t="str">
        <f aca="false">IF(ABS(B167-D167)&lt;=0.5,"OK","DIVERSO")</f>
        <v>OK</v>
      </c>
      <c r="F167" s="16" t="s">
        <v>1002</v>
      </c>
    </row>
    <row r="168" customFormat="false" ht="15" hidden="false" customHeight="true" outlineLevel="0" collapsed="false">
      <c r="A168" s="14" t="s">
        <v>1287</v>
      </c>
      <c r="B168" s="19" t="n">
        <f aca="false">$B$167+$B$163</f>
        <v>2670</v>
      </c>
      <c r="C168" s="16" t="s">
        <v>140</v>
      </c>
      <c r="D168" s="20" t="n">
        <v>2670</v>
      </c>
      <c r="E168" s="21" t="str">
        <f aca="false">IF(ABS(B168-D168)&lt;=0.5,"OK","DIVERSO")</f>
        <v>OK</v>
      </c>
      <c r="F168" s="16" t="s">
        <v>1002</v>
      </c>
    </row>
    <row r="169" customFormat="false" ht="15" hidden="false" customHeight="true" outlineLevel="0" collapsed="false">
      <c r="A169" s="14" t="s">
        <v>1288</v>
      </c>
      <c r="B169" s="28" t="str">
        <f aca="false">IF(ABS($B$168-$B$114)&lt;0.01,"Quadra","Non quadra")</f>
        <v>Quadra</v>
      </c>
      <c r="C169" s="16"/>
      <c r="D169" s="29" t="s">
        <v>1035</v>
      </c>
      <c r="E169" s="21" t="str">
        <f aca="false">IF(B169=D169,"OK","DIVERSO")</f>
        <v>OK</v>
      </c>
      <c r="F169" s="16" t="s">
        <v>1002</v>
      </c>
    </row>
    <row r="170" customFormat="false" ht="15" hidden="false" customHeight="true" outlineLevel="0" collapsed="false"/>
    <row r="171" customFormat="false" ht="15" hidden="false" customHeight="true" outlineLevel="0" collapsed="false">
      <c r="A171" s="13" t="s">
        <v>1289</v>
      </c>
      <c r="B171" s="13"/>
      <c r="C171" s="13"/>
      <c r="D171" s="13"/>
      <c r="E171" s="13"/>
      <c r="F171" s="13"/>
    </row>
    <row r="172" customFormat="false" ht="15" hidden="false" customHeight="true" outlineLevel="0" collapsed="false">
      <c r="A172" s="22" t="s">
        <v>1290</v>
      </c>
      <c r="B172" s="22"/>
      <c r="C172" s="22"/>
      <c r="D172" s="22"/>
      <c r="E172" s="22"/>
      <c r="F172" s="22"/>
    </row>
    <row r="173" customFormat="false" ht="15" hidden="false" customHeight="true" outlineLevel="0" collapsed="false">
      <c r="A173" s="6" t="s">
        <v>116</v>
      </c>
      <c r="B173" s="6" t="s">
        <v>117</v>
      </c>
      <c r="C173" s="6" t="s">
        <v>118</v>
      </c>
      <c r="D173" s="6" t="s">
        <v>119</v>
      </c>
      <c r="E173" s="6" t="s">
        <v>120</v>
      </c>
      <c r="F173" s="6" t="s">
        <v>121</v>
      </c>
    </row>
    <row r="174" customFormat="false" ht="15" hidden="false" customHeight="true" outlineLevel="0" collapsed="false">
      <c r="A174" s="14" t="s">
        <v>1291</v>
      </c>
      <c r="B174" s="25" t="n">
        <v>0.25</v>
      </c>
      <c r="C174" s="16" t="s">
        <v>319</v>
      </c>
      <c r="D174" s="17"/>
      <c r="E174" s="17"/>
      <c r="F174" s="16" t="s">
        <v>1002</v>
      </c>
    </row>
    <row r="175" customFormat="false" ht="15" hidden="false" customHeight="true" outlineLevel="0" collapsed="false">
      <c r="A175" s="14" t="s">
        <v>1292</v>
      </c>
      <c r="B175" s="15" t="n">
        <v>1</v>
      </c>
      <c r="C175" s="16" t="s">
        <v>126</v>
      </c>
      <c r="D175" s="17"/>
      <c r="E175" s="17"/>
      <c r="F175" s="16" t="s">
        <v>1002</v>
      </c>
    </row>
    <row r="176" customFormat="false" ht="15" hidden="false" customHeight="true" outlineLevel="0" collapsed="false">
      <c r="A176" s="14" t="s">
        <v>1293</v>
      </c>
      <c r="B176" s="19" t="n">
        <f aca="false">Cap_12!$B$19*$B$174</f>
        <v>2850</v>
      </c>
      <c r="C176" s="16" t="s">
        <v>123</v>
      </c>
      <c r="D176" s="20" t="n">
        <v>2850</v>
      </c>
      <c r="E176" s="21" t="str">
        <f aca="false">IF(ABS(B176-D176)&lt;=0.5,"OK","DIVERSO")</f>
        <v>OK</v>
      </c>
      <c r="F176" s="16" t="s">
        <v>1232</v>
      </c>
    </row>
    <row r="177" customFormat="false" ht="15" hidden="false" customHeight="true" outlineLevel="0" collapsed="false">
      <c r="A177" s="14" t="s">
        <v>1294</v>
      </c>
      <c r="B177" s="19" t="n">
        <f aca="false">$B$176*$B$175</f>
        <v>2850</v>
      </c>
      <c r="C177" s="16" t="s">
        <v>140</v>
      </c>
      <c r="D177" s="20" t="n">
        <v>2850</v>
      </c>
      <c r="E177" s="21" t="str">
        <f aca="false">IF(ABS(B177-D177)&lt;=0.5,"OK","DIVERSO")</f>
        <v>OK</v>
      </c>
      <c r="F177" s="16" t="s">
        <v>1002</v>
      </c>
    </row>
    <row r="178" customFormat="false" ht="15" hidden="false" customHeight="true" outlineLevel="0" collapsed="false">
      <c r="A178" s="14" t="s">
        <v>1295</v>
      </c>
      <c r="B178" s="15" t="n">
        <v>253000</v>
      </c>
      <c r="C178" s="16" t="s">
        <v>140</v>
      </c>
      <c r="D178" s="17"/>
      <c r="E178" s="17"/>
      <c r="F178" s="16" t="s">
        <v>1002</v>
      </c>
    </row>
    <row r="179" customFormat="false" ht="15" hidden="false" customHeight="true" outlineLevel="0" collapsed="false">
      <c r="A179" s="14" t="s">
        <v>1296</v>
      </c>
      <c r="B179" s="19" t="n">
        <f aca="false">Cap_12!$B$35-$B$178</f>
        <v>16900</v>
      </c>
      <c r="C179" s="16" t="s">
        <v>140</v>
      </c>
      <c r="D179" s="20" t="n">
        <v>16900</v>
      </c>
      <c r="E179" s="21" t="str">
        <f aca="false">IF(ABS(B179-D179)&lt;=0.5,"OK","DIVERSO")</f>
        <v>OK</v>
      </c>
      <c r="F179" s="16" t="s">
        <v>1002</v>
      </c>
    </row>
  </sheetData>
  <mergeCells count="24">
    <mergeCell ref="A1:F1"/>
    <mergeCell ref="A4:F4"/>
    <mergeCell ref="A6:F6"/>
    <mergeCell ref="A7:F7"/>
    <mergeCell ref="A19:F19"/>
    <mergeCell ref="A20:F20"/>
    <mergeCell ref="A31:F31"/>
    <mergeCell ref="A32:F32"/>
    <mergeCell ref="A48:F48"/>
    <mergeCell ref="A49:F49"/>
    <mergeCell ref="A65:F65"/>
    <mergeCell ref="A66:F66"/>
    <mergeCell ref="A81:F81"/>
    <mergeCell ref="A82:F82"/>
    <mergeCell ref="A108:F108"/>
    <mergeCell ref="A109:F109"/>
    <mergeCell ref="A124:F124"/>
    <mergeCell ref="A125:F125"/>
    <mergeCell ref="A143:F143"/>
    <mergeCell ref="A144:F144"/>
    <mergeCell ref="A155:F155"/>
    <mergeCell ref="A156:F156"/>
    <mergeCell ref="A171:F171"/>
    <mergeCell ref="A172:F1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61</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1297</v>
      </c>
      <c r="B4" s="5"/>
      <c r="C4" s="5"/>
      <c r="D4" s="5"/>
      <c r="E4" s="5"/>
      <c r="F4" s="5"/>
    </row>
    <row r="5" customFormat="false" ht="15" hidden="false" customHeight="true" outlineLevel="0" collapsed="false"/>
    <row r="6" customFormat="false" ht="15" hidden="false" customHeight="true" outlineLevel="0" collapsed="false">
      <c r="A6" s="13" t="s">
        <v>1298</v>
      </c>
      <c r="B6" s="13"/>
      <c r="C6" s="13"/>
      <c r="D6" s="13"/>
      <c r="E6" s="13"/>
      <c r="F6" s="13"/>
    </row>
    <row r="7" customFormat="false" ht="15" hidden="false" customHeight="true" outlineLevel="0" collapsed="false">
      <c r="A7" s="22" t="s">
        <v>1299</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1300</v>
      </c>
      <c r="B9" s="15" t="n">
        <v>50000</v>
      </c>
      <c r="C9" s="16" t="s">
        <v>140</v>
      </c>
      <c r="D9" s="17"/>
      <c r="E9" s="17"/>
      <c r="F9" s="16" t="s">
        <v>1301</v>
      </c>
    </row>
    <row r="10" customFormat="false" ht="15" hidden="false" customHeight="true" outlineLevel="0" collapsed="false">
      <c r="A10" s="14" t="s">
        <v>1302</v>
      </c>
      <c r="B10" s="15" t="n">
        <v>28000</v>
      </c>
      <c r="C10" s="16" t="s">
        <v>140</v>
      </c>
      <c r="D10" s="17"/>
      <c r="E10" s="17"/>
      <c r="F10" s="16" t="s">
        <v>1301</v>
      </c>
    </row>
    <row r="11" customFormat="false" ht="15" hidden="false" customHeight="true" outlineLevel="0" collapsed="false">
      <c r="A11" s="14" t="s">
        <v>1303</v>
      </c>
      <c r="B11" s="15" t="n">
        <v>5000</v>
      </c>
      <c r="C11" s="16" t="s">
        <v>140</v>
      </c>
      <c r="D11" s="17"/>
      <c r="E11" s="17"/>
      <c r="F11" s="16" t="s">
        <v>1301</v>
      </c>
    </row>
    <row r="12" customFormat="false" ht="15" hidden="false" customHeight="true" outlineLevel="0" collapsed="false">
      <c r="A12" s="14" t="s">
        <v>1304</v>
      </c>
      <c r="B12" s="15" t="n">
        <v>4000</v>
      </c>
      <c r="C12" s="16" t="s">
        <v>140</v>
      </c>
      <c r="D12" s="17"/>
      <c r="E12" s="17"/>
      <c r="F12" s="16" t="s">
        <v>1301</v>
      </c>
    </row>
    <row r="13" customFormat="false" ht="15" hidden="false" customHeight="true" outlineLevel="0" collapsed="false">
      <c r="A13" s="14" t="s">
        <v>1305</v>
      </c>
      <c r="B13" s="19" t="n">
        <f aca="false">$B$9-$B$10-$B$11-$B$12</f>
        <v>13000</v>
      </c>
      <c r="C13" s="16" t="s">
        <v>140</v>
      </c>
      <c r="D13" s="20" t="n">
        <v>13000</v>
      </c>
      <c r="E13" s="21" t="str">
        <f aca="false">IF(ABS(B13-D13)&lt;=0.5,"OK","DIVERSO")</f>
        <v>OK</v>
      </c>
      <c r="F13" s="16" t="s">
        <v>1301</v>
      </c>
    </row>
    <row r="14" customFormat="false" ht="15" hidden="false" customHeight="true" outlineLevel="0" collapsed="false"/>
    <row r="15" customFormat="false" ht="15" hidden="false" customHeight="true" outlineLevel="0" collapsed="false">
      <c r="A15" s="13" t="s">
        <v>1306</v>
      </c>
      <c r="B15" s="13"/>
      <c r="C15" s="13"/>
      <c r="D15" s="13"/>
      <c r="E15" s="13"/>
      <c r="F15" s="13"/>
    </row>
    <row r="16" customFormat="false" ht="15" hidden="false" customHeight="true" outlineLevel="0" collapsed="false">
      <c r="A16" s="22" t="s">
        <v>1307</v>
      </c>
      <c r="B16" s="22"/>
      <c r="C16" s="22"/>
      <c r="D16" s="22"/>
      <c r="E16" s="22"/>
      <c r="F16" s="22"/>
    </row>
    <row r="17" customFormat="false" ht="15" hidden="false" customHeight="true" outlineLevel="0" collapsed="false">
      <c r="A17" s="6" t="s">
        <v>116</v>
      </c>
      <c r="B17" s="6" t="s">
        <v>117</v>
      </c>
      <c r="C17" s="6" t="s">
        <v>118</v>
      </c>
      <c r="D17" s="6" t="s">
        <v>119</v>
      </c>
      <c r="E17" s="6" t="s">
        <v>120</v>
      </c>
      <c r="F17" s="6" t="s">
        <v>121</v>
      </c>
    </row>
    <row r="18" customFormat="false" ht="15" hidden="false" customHeight="true" outlineLevel="0" collapsed="false">
      <c r="A18" s="14" t="s">
        <v>1308</v>
      </c>
      <c r="B18" s="15" t="n">
        <v>200000</v>
      </c>
      <c r="C18" s="16" t="s">
        <v>140</v>
      </c>
      <c r="D18" s="17"/>
      <c r="E18" s="17"/>
      <c r="F18" s="16" t="s">
        <v>1301</v>
      </c>
    </row>
    <row r="19" customFormat="false" ht="15" hidden="false" customHeight="true" outlineLevel="0" collapsed="false">
      <c r="A19" s="14" t="s">
        <v>1309</v>
      </c>
      <c r="B19" s="15" t="n">
        <v>55000</v>
      </c>
      <c r="C19" s="16" t="s">
        <v>140</v>
      </c>
      <c r="D19" s="17"/>
      <c r="E19" s="17"/>
      <c r="F19" s="16" t="s">
        <v>1301</v>
      </c>
    </row>
    <row r="20" customFormat="false" ht="15" hidden="false" customHeight="true" outlineLevel="0" collapsed="false">
      <c r="A20" s="14" t="s">
        <v>1310</v>
      </c>
      <c r="B20" s="15" t="n">
        <v>30000</v>
      </c>
      <c r="C20" s="16" t="s">
        <v>140</v>
      </c>
      <c r="D20" s="17"/>
      <c r="E20" s="17"/>
      <c r="F20" s="16" t="s">
        <v>1301</v>
      </c>
    </row>
    <row r="21" customFormat="false" ht="15" hidden="false" customHeight="true" outlineLevel="0" collapsed="false">
      <c r="A21" s="14" t="s">
        <v>1311</v>
      </c>
      <c r="B21" s="15" t="n">
        <v>20000</v>
      </c>
      <c r="C21" s="16" t="s">
        <v>140</v>
      </c>
      <c r="D21" s="17"/>
      <c r="E21" s="17"/>
      <c r="F21" s="16" t="s">
        <v>1301</v>
      </c>
    </row>
    <row r="22" customFormat="false" ht="15" hidden="false" customHeight="true" outlineLevel="0" collapsed="false">
      <c r="A22" s="14" t="s">
        <v>1312</v>
      </c>
      <c r="B22" s="25" t="n">
        <v>0.08</v>
      </c>
      <c r="C22" s="16" t="s">
        <v>319</v>
      </c>
      <c r="D22" s="17"/>
      <c r="E22" s="17"/>
      <c r="F22" s="16" t="s">
        <v>1301</v>
      </c>
    </row>
    <row r="23" customFormat="false" ht="15" hidden="false" customHeight="true" outlineLevel="0" collapsed="false">
      <c r="A23" s="14" t="s">
        <v>1313</v>
      </c>
      <c r="B23" s="19" t="n">
        <f aca="false">-($B$18+$B$20)</f>
        <v>-230000</v>
      </c>
      <c r="C23" s="16" t="s">
        <v>140</v>
      </c>
      <c r="D23" s="20" t="n">
        <v>-230000</v>
      </c>
      <c r="E23" s="21" t="str">
        <f aca="false">IF(ABS(B23-D23)&lt;=0.5,"OK","DIVERSO")</f>
        <v>OK</v>
      </c>
      <c r="F23" s="16" t="s">
        <v>1301</v>
      </c>
    </row>
    <row r="24" customFormat="false" ht="15" hidden="false" customHeight="true" outlineLevel="0" collapsed="false">
      <c r="A24" s="14" t="s">
        <v>1314</v>
      </c>
      <c r="B24" s="19" t="n">
        <f aca="false">$B$19</f>
        <v>55000</v>
      </c>
      <c r="C24" s="16" t="s">
        <v>140</v>
      </c>
      <c r="D24" s="20" t="n">
        <v>55000</v>
      </c>
      <c r="E24" s="21" t="str">
        <f aca="false">IF(ABS(B24-D24)&lt;=0.5,"OK","DIVERSO")</f>
        <v>OK</v>
      </c>
      <c r="F24" s="16" t="s">
        <v>1301</v>
      </c>
    </row>
    <row r="25" customFormat="false" ht="15" hidden="false" customHeight="true" outlineLevel="0" collapsed="false">
      <c r="A25" s="14" t="s">
        <v>1315</v>
      </c>
      <c r="B25" s="19" t="n">
        <f aca="false">$B$19</f>
        <v>55000</v>
      </c>
      <c r="C25" s="16" t="s">
        <v>140</v>
      </c>
      <c r="D25" s="20" t="n">
        <v>55000</v>
      </c>
      <c r="E25" s="21" t="str">
        <f aca="false">IF(ABS(B25-D25)&lt;=0.5,"OK","DIVERSO")</f>
        <v>OK</v>
      </c>
      <c r="F25" s="16" t="s">
        <v>1301</v>
      </c>
    </row>
    <row r="26" customFormat="false" ht="15" hidden="false" customHeight="true" outlineLevel="0" collapsed="false">
      <c r="A26" s="14" t="s">
        <v>1316</v>
      </c>
      <c r="B26" s="19" t="n">
        <f aca="false">$B$19</f>
        <v>55000</v>
      </c>
      <c r="C26" s="16" t="s">
        <v>140</v>
      </c>
      <c r="D26" s="20" t="n">
        <v>55000</v>
      </c>
      <c r="E26" s="21" t="str">
        <f aca="false">IF(ABS(B26-D26)&lt;=0.5,"OK","DIVERSO")</f>
        <v>OK</v>
      </c>
      <c r="F26" s="16" t="s">
        <v>1301</v>
      </c>
    </row>
    <row r="27" customFormat="false" ht="15" hidden="false" customHeight="true" outlineLevel="0" collapsed="false">
      <c r="A27" s="14" t="s">
        <v>1317</v>
      </c>
      <c r="B27" s="19" t="n">
        <f aca="false">$B$19</f>
        <v>55000</v>
      </c>
      <c r="C27" s="16" t="s">
        <v>140</v>
      </c>
      <c r="D27" s="20" t="n">
        <v>55000</v>
      </c>
      <c r="E27" s="21" t="str">
        <f aca="false">IF(ABS(B27-D27)&lt;=0.5,"OK","DIVERSO")</f>
        <v>OK</v>
      </c>
      <c r="F27" s="16" t="s">
        <v>1301</v>
      </c>
    </row>
    <row r="28" customFormat="false" ht="15" hidden="false" customHeight="true" outlineLevel="0" collapsed="false">
      <c r="A28" s="14" t="s">
        <v>1318</v>
      </c>
      <c r="B28" s="19" t="n">
        <f aca="false">$B$19+$B$21+$B$20</f>
        <v>105000</v>
      </c>
      <c r="C28" s="16" t="s">
        <v>140</v>
      </c>
      <c r="D28" s="20" t="n">
        <v>105000</v>
      </c>
      <c r="E28" s="21" t="str">
        <f aca="false">IF(ABS(B28-D28)&lt;=0.5,"OK","DIVERSO")</f>
        <v>OK</v>
      </c>
      <c r="F28" s="16" t="s">
        <v>1301</v>
      </c>
    </row>
    <row r="29" customFormat="false" ht="15" hidden="false" customHeight="true" outlineLevel="0" collapsed="false">
      <c r="A29" s="14" t="s">
        <v>1319</v>
      </c>
      <c r="B29" s="30" t="n">
        <f aca="false">1/(1+$B$22)^1</f>
        <v>0.925925925925926</v>
      </c>
      <c r="C29" s="16" t="s">
        <v>518</v>
      </c>
      <c r="D29" s="31" t="n">
        <v>0.9259</v>
      </c>
      <c r="E29" s="21" t="str">
        <f aca="false">IF(ABS(B29-D29)&lt;=0.00005,"OK","DIVERSO")</f>
        <v>OK</v>
      </c>
      <c r="F29" s="16" t="s">
        <v>1301</v>
      </c>
    </row>
    <row r="30" customFormat="false" ht="15" hidden="false" customHeight="true" outlineLevel="0" collapsed="false">
      <c r="A30" s="14" t="s">
        <v>1320</v>
      </c>
      <c r="B30" s="30" t="n">
        <f aca="false">1/(1+$B$22)^2</f>
        <v>0.857338820301783</v>
      </c>
      <c r="C30" s="16" t="s">
        <v>518</v>
      </c>
      <c r="D30" s="31" t="n">
        <v>0.8573</v>
      </c>
      <c r="E30" s="21" t="str">
        <f aca="false">IF(ABS(B30-D30)&lt;=0.00005,"OK","DIVERSO")</f>
        <v>OK</v>
      </c>
      <c r="F30" s="16" t="s">
        <v>1301</v>
      </c>
    </row>
    <row r="31" customFormat="false" ht="15" hidden="false" customHeight="true" outlineLevel="0" collapsed="false">
      <c r="A31" s="14" t="s">
        <v>1321</v>
      </c>
      <c r="B31" s="30" t="n">
        <f aca="false">1/(1+$B$22)^3</f>
        <v>0.79383224102017</v>
      </c>
      <c r="C31" s="16" t="s">
        <v>518</v>
      </c>
      <c r="D31" s="31" t="n">
        <v>0.7938</v>
      </c>
      <c r="E31" s="21" t="str">
        <f aca="false">IF(ABS(B31-D31)&lt;=0.00005,"OK","DIVERSO")</f>
        <v>OK</v>
      </c>
      <c r="F31" s="16" t="s">
        <v>1301</v>
      </c>
    </row>
    <row r="32" customFormat="false" ht="15" hidden="false" customHeight="true" outlineLevel="0" collapsed="false">
      <c r="A32" s="14" t="s">
        <v>1322</v>
      </c>
      <c r="B32" s="30" t="n">
        <f aca="false">1/(1+$B$22)^4</f>
        <v>0.735029852796453</v>
      </c>
      <c r="C32" s="16" t="s">
        <v>518</v>
      </c>
      <c r="D32" s="31" t="n">
        <v>0.735</v>
      </c>
      <c r="E32" s="21" t="str">
        <f aca="false">IF(ABS(B32-D32)&lt;=0.00005,"OK","DIVERSO")</f>
        <v>OK</v>
      </c>
      <c r="F32" s="16" t="s">
        <v>1301</v>
      </c>
    </row>
    <row r="33" customFormat="false" ht="15" hidden="false" customHeight="true" outlineLevel="0" collapsed="false">
      <c r="A33" s="14" t="s">
        <v>1323</v>
      </c>
      <c r="B33" s="30" t="n">
        <f aca="false">1/(1+$B$22)^5</f>
        <v>0.680583197033753</v>
      </c>
      <c r="C33" s="16" t="s">
        <v>518</v>
      </c>
      <c r="D33" s="31" t="n">
        <v>0.6806</v>
      </c>
      <c r="E33" s="21" t="str">
        <f aca="false">IF(ABS(B33-D33)&lt;=0.00005,"OK","DIVERSO")</f>
        <v>OK</v>
      </c>
      <c r="F33" s="16" t="s">
        <v>1301</v>
      </c>
    </row>
    <row r="34" customFormat="false" ht="15" hidden="false" customHeight="true" outlineLevel="0" collapsed="false">
      <c r="A34" s="14" t="s">
        <v>1324</v>
      </c>
      <c r="B34" s="19" t="n">
        <f aca="false">$B$24*$B$29</f>
        <v>50925.9259259259</v>
      </c>
      <c r="C34" s="16" t="s">
        <v>140</v>
      </c>
      <c r="D34" s="20" t="n">
        <v>50926</v>
      </c>
      <c r="E34" s="21" t="str">
        <f aca="false">IF(ABS(B34-D34)&lt;=0.5,"OK","DIVERSO")</f>
        <v>OK</v>
      </c>
      <c r="F34" s="16" t="s">
        <v>1301</v>
      </c>
    </row>
    <row r="35" customFormat="false" ht="15" hidden="false" customHeight="true" outlineLevel="0" collapsed="false">
      <c r="A35" s="14" t="s">
        <v>1325</v>
      </c>
      <c r="B35" s="19" t="n">
        <f aca="false">$B$25*$B$30</f>
        <v>47153.6351165981</v>
      </c>
      <c r="C35" s="16" t="s">
        <v>140</v>
      </c>
      <c r="D35" s="20" t="n">
        <v>47154</v>
      </c>
      <c r="E35" s="21" t="str">
        <f aca="false">IF(ABS(B35-D35)&lt;=0.5,"OK","DIVERSO")</f>
        <v>OK</v>
      </c>
      <c r="F35" s="16" t="s">
        <v>1301</v>
      </c>
    </row>
    <row r="36" customFormat="false" ht="15" hidden="false" customHeight="true" outlineLevel="0" collapsed="false">
      <c r="A36" s="14" t="s">
        <v>1326</v>
      </c>
      <c r="B36" s="19" t="n">
        <f aca="false">$B$26*$B$31</f>
        <v>43660.7732561093</v>
      </c>
      <c r="C36" s="16" t="s">
        <v>140</v>
      </c>
      <c r="D36" s="20" t="n">
        <v>43661</v>
      </c>
      <c r="E36" s="21" t="str">
        <f aca="false">IF(ABS(B36-D36)&lt;=0.5,"OK","DIVERSO")</f>
        <v>OK</v>
      </c>
      <c r="F36" s="16" t="s">
        <v>1301</v>
      </c>
    </row>
    <row r="37" customFormat="false" ht="15" hidden="false" customHeight="true" outlineLevel="0" collapsed="false">
      <c r="A37" s="14" t="s">
        <v>1327</v>
      </c>
      <c r="B37" s="19" t="n">
        <f aca="false">$B$27*$B$32</f>
        <v>40426.6419038049</v>
      </c>
      <c r="C37" s="16" t="s">
        <v>140</v>
      </c>
      <c r="D37" s="20" t="n">
        <v>40427</v>
      </c>
      <c r="E37" s="21" t="str">
        <f aca="false">IF(ABS(B37-D37)&lt;=0.5,"OK","DIVERSO")</f>
        <v>OK</v>
      </c>
      <c r="F37" s="16" t="s">
        <v>1301</v>
      </c>
    </row>
    <row r="38" customFormat="false" ht="15" hidden="false" customHeight="true" outlineLevel="0" collapsed="false">
      <c r="A38" s="14" t="s">
        <v>1328</v>
      </c>
      <c r="B38" s="19" t="n">
        <f aca="false">$B$28*$B$33</f>
        <v>71461.2356885441</v>
      </c>
      <c r="C38" s="16" t="s">
        <v>140</v>
      </c>
      <c r="D38" s="20" t="n">
        <v>71461</v>
      </c>
      <c r="E38" s="21" t="str">
        <f aca="false">IF(ABS(B38-D38)&lt;=0.5,"OK","DIVERSO")</f>
        <v>OK</v>
      </c>
      <c r="F38" s="16" t="s">
        <v>1301</v>
      </c>
    </row>
    <row r="39" customFormat="false" ht="15" hidden="false" customHeight="true" outlineLevel="0" collapsed="false">
      <c r="A39" s="14" t="s">
        <v>1329</v>
      </c>
      <c r="B39" s="19" t="n">
        <f aca="false">$B$23+NPV($B$22,$B$24,$B$25,$B$26,$B$27,$B$28)</f>
        <v>23628.2118909823</v>
      </c>
      <c r="C39" s="16" t="s">
        <v>140</v>
      </c>
      <c r="D39" s="20" t="n">
        <v>23628</v>
      </c>
      <c r="E39" s="21" t="str">
        <f aca="false">IF(ABS(B39-D39)&lt;=0.5,"OK","DIVERSO")</f>
        <v>OK</v>
      </c>
      <c r="F39" s="16" t="s">
        <v>1301</v>
      </c>
    </row>
    <row r="40" customFormat="false" ht="15" hidden="false" customHeight="true" outlineLevel="0" collapsed="false">
      <c r="A40" s="14" t="s">
        <v>1330</v>
      </c>
      <c r="B40" s="19" t="n">
        <f aca="false">$B$23+ROUND($B$34,0)+ROUND($B$35,0)+ROUND($B$36,0)+ROUND($B$37,0)+ROUND($B$38,0)</f>
        <v>23629</v>
      </c>
      <c r="C40" s="16" t="s">
        <v>140</v>
      </c>
      <c r="D40" s="20" t="n">
        <v>23629</v>
      </c>
      <c r="E40" s="21" t="str">
        <f aca="false">IF(ABS(B40-D40)&lt;=0.5,"OK","DIVERSO")</f>
        <v>OK</v>
      </c>
      <c r="F40" s="16" t="s">
        <v>1301</v>
      </c>
    </row>
    <row r="41" customFormat="false" ht="15" hidden="false" customHeight="true" outlineLevel="0" collapsed="false">
      <c r="A41" s="14" t="s">
        <v>1331</v>
      </c>
      <c r="B41" s="26" t="n">
        <f aca="false">IRR($B$23:$B$28)</f>
        <v>0.114614536502421</v>
      </c>
      <c r="C41" s="16" t="s">
        <v>319</v>
      </c>
      <c r="D41" s="27" t="n">
        <v>0.115</v>
      </c>
      <c r="E41" s="21" t="str">
        <f aca="false">IF(ABS(B41-D41)&lt;=0.0005,"OK","DIVERSO")</f>
        <v>OK</v>
      </c>
      <c r="F41" s="16" t="s">
        <v>1301</v>
      </c>
    </row>
    <row r="42" customFormat="false" ht="15" hidden="false" customHeight="true" outlineLevel="0" collapsed="false"/>
    <row r="43" customFormat="false" ht="15" hidden="false" customHeight="true" outlineLevel="0" collapsed="false">
      <c r="A43" s="13" t="s">
        <v>1332</v>
      </c>
      <c r="B43" s="13"/>
      <c r="C43" s="13"/>
      <c r="D43" s="13"/>
      <c r="E43" s="13"/>
      <c r="F43" s="13"/>
    </row>
    <row r="44" customFormat="false" ht="15" hidden="false" customHeight="true" outlineLevel="0" collapsed="false">
      <c r="A44" s="22" t="s">
        <v>1333</v>
      </c>
      <c r="B44" s="22"/>
      <c r="C44" s="22"/>
      <c r="D44" s="22"/>
      <c r="E44" s="22"/>
      <c r="F44" s="22"/>
    </row>
    <row r="45" customFormat="false" ht="15" hidden="false" customHeight="true" outlineLevel="0" collapsed="false">
      <c r="A45" s="6" t="s">
        <v>116</v>
      </c>
      <c r="B45" s="6" t="s">
        <v>117</v>
      </c>
      <c r="C45" s="6" t="s">
        <v>118</v>
      </c>
      <c r="D45" s="6" t="s">
        <v>119</v>
      </c>
      <c r="E45" s="6" t="s">
        <v>120</v>
      </c>
      <c r="F45" s="6" t="s">
        <v>121</v>
      </c>
    </row>
    <row r="46" customFormat="false" ht="15" hidden="false" customHeight="true" outlineLevel="0" collapsed="false">
      <c r="A46" s="14" t="s">
        <v>1334</v>
      </c>
      <c r="B46" s="19" t="n">
        <f aca="false">-$B$18</f>
        <v>-200000</v>
      </c>
      <c r="C46" s="16" t="s">
        <v>140</v>
      </c>
      <c r="D46" s="20" t="n">
        <v>-200000</v>
      </c>
      <c r="E46" s="21" t="str">
        <f aca="false">IF(ABS(B46-D46)&lt;=0.5,"OK","DIVERSO")</f>
        <v>OK</v>
      </c>
      <c r="F46" s="16" t="s">
        <v>1301</v>
      </c>
    </row>
    <row r="47" customFormat="false" ht="15" hidden="false" customHeight="true" outlineLevel="0" collapsed="false">
      <c r="A47" s="14" t="s">
        <v>1335</v>
      </c>
      <c r="B47" s="19" t="n">
        <f aca="false">$B$19</f>
        <v>55000</v>
      </c>
      <c r="C47" s="16" t="s">
        <v>140</v>
      </c>
      <c r="D47" s="17"/>
      <c r="E47" s="17"/>
      <c r="F47" s="16" t="s">
        <v>1301</v>
      </c>
    </row>
    <row r="48" customFormat="false" ht="15" hidden="false" customHeight="true" outlineLevel="0" collapsed="false">
      <c r="A48" s="14" t="s">
        <v>1336</v>
      </c>
      <c r="B48" s="19" t="n">
        <f aca="false">$B$19</f>
        <v>55000</v>
      </c>
      <c r="C48" s="16" t="s">
        <v>140</v>
      </c>
      <c r="D48" s="17"/>
      <c r="E48" s="17"/>
      <c r="F48" s="16" t="s">
        <v>1301</v>
      </c>
    </row>
    <row r="49" customFormat="false" ht="15" hidden="false" customHeight="true" outlineLevel="0" collapsed="false">
      <c r="A49" s="14" t="s">
        <v>1337</v>
      </c>
      <c r="B49" s="19" t="n">
        <f aca="false">$B$19</f>
        <v>55000</v>
      </c>
      <c r="C49" s="16" t="s">
        <v>140</v>
      </c>
      <c r="D49" s="17"/>
      <c r="E49" s="17"/>
      <c r="F49" s="16" t="s">
        <v>1301</v>
      </c>
    </row>
    <row r="50" customFormat="false" ht="15" hidden="false" customHeight="true" outlineLevel="0" collapsed="false">
      <c r="A50" s="14" t="s">
        <v>1338</v>
      </c>
      <c r="B50" s="19" t="n">
        <f aca="false">$B$19</f>
        <v>55000</v>
      </c>
      <c r="C50" s="16" t="s">
        <v>140</v>
      </c>
      <c r="D50" s="17"/>
      <c r="E50" s="17"/>
      <c r="F50" s="16" t="s">
        <v>1301</v>
      </c>
    </row>
    <row r="51" customFormat="false" ht="15" hidden="false" customHeight="true" outlineLevel="0" collapsed="false">
      <c r="A51" s="14" t="s">
        <v>1339</v>
      </c>
      <c r="B51" s="19" t="n">
        <f aca="false">$B$19+$B$21</f>
        <v>75000</v>
      </c>
      <c r="C51" s="16" t="s">
        <v>140</v>
      </c>
      <c r="D51" s="20" t="n">
        <v>75000</v>
      </c>
      <c r="E51" s="21" t="str">
        <f aca="false">IF(ABS(B51-D51)&lt;=0.5,"OK","DIVERSO")</f>
        <v>OK</v>
      </c>
      <c r="F51" s="16" t="s">
        <v>1301</v>
      </c>
    </row>
    <row r="52" customFormat="false" ht="15" hidden="false" customHeight="true" outlineLevel="0" collapsed="false">
      <c r="A52" s="14" t="s">
        <v>1340</v>
      </c>
      <c r="B52" s="19" t="n">
        <f aca="false">$B$46+NPV($B$22,$B$47,$B$48,$B$49,$B$50,$B$51)</f>
        <v>33210.7159799697</v>
      </c>
      <c r="C52" s="16" t="s">
        <v>140</v>
      </c>
      <c r="D52" s="20" t="n">
        <v>33211</v>
      </c>
      <c r="E52" s="21" t="str">
        <f aca="false">IF(ABS(B52-D52)&lt;=0.5,"OK","DIVERSO")</f>
        <v>OK</v>
      </c>
      <c r="F52" s="16" t="s">
        <v>1301</v>
      </c>
    </row>
    <row r="53" customFormat="false" ht="15" hidden="false" customHeight="true" outlineLevel="0" collapsed="false">
      <c r="A53" s="14" t="s">
        <v>1341</v>
      </c>
      <c r="B53" s="26" t="n">
        <f aca="false">IRR($B$46:$B$51)</f>
        <v>0.138416707909823</v>
      </c>
      <c r="C53" s="16" t="s">
        <v>319</v>
      </c>
      <c r="D53" s="27" t="n">
        <v>0.138</v>
      </c>
      <c r="E53" s="21" t="str">
        <f aca="false">IF(ABS(B53-D53)&lt;=0.0005,"OK","DIVERSO")</f>
        <v>OK</v>
      </c>
      <c r="F53" s="16" t="s">
        <v>1301</v>
      </c>
    </row>
    <row r="54" customFormat="false" ht="15" hidden="false" customHeight="true" outlineLevel="0" collapsed="false">
      <c r="A54" s="14" t="s">
        <v>1342</v>
      </c>
      <c r="B54" s="19" t="n">
        <f aca="false">$B$52-$B$39</f>
        <v>9582.50408898742</v>
      </c>
      <c r="C54" s="16" t="s">
        <v>140</v>
      </c>
      <c r="D54" s="20" t="n">
        <v>9583</v>
      </c>
      <c r="E54" s="21" t="str">
        <f aca="false">IF(ABS(B54-D54)&lt;=0.5,"OK","DIVERSO")</f>
        <v>OK</v>
      </c>
      <c r="F54" s="16" t="s">
        <v>1301</v>
      </c>
    </row>
    <row r="55" customFormat="false" ht="15" hidden="false" customHeight="true" outlineLevel="0" collapsed="false"/>
    <row r="56" customFormat="false" ht="15" hidden="false" customHeight="true" outlineLevel="0" collapsed="false">
      <c r="A56" s="13" t="s">
        <v>1343</v>
      </c>
      <c r="B56" s="13"/>
      <c r="C56" s="13"/>
      <c r="D56" s="13"/>
      <c r="E56" s="13"/>
      <c r="F56" s="13"/>
    </row>
    <row r="57" customFormat="false" ht="15" hidden="false" customHeight="true" outlineLevel="0" collapsed="false">
      <c r="A57" s="22" t="s">
        <v>1344</v>
      </c>
      <c r="B57" s="22"/>
      <c r="C57" s="22"/>
      <c r="D57" s="22"/>
      <c r="E57" s="22"/>
      <c r="F57" s="22"/>
    </row>
    <row r="58" customFormat="false" ht="15" hidden="false" customHeight="true" outlineLevel="0" collapsed="false">
      <c r="A58" s="6" t="s">
        <v>116</v>
      </c>
      <c r="B58" s="6" t="s">
        <v>117</v>
      </c>
      <c r="C58" s="6" t="s">
        <v>118</v>
      </c>
      <c r="D58" s="6" t="s">
        <v>119</v>
      </c>
      <c r="E58" s="6" t="s">
        <v>120</v>
      </c>
      <c r="F58" s="6" t="s">
        <v>121</v>
      </c>
    </row>
    <row r="59" customFormat="false" ht="15" hidden="false" customHeight="true" outlineLevel="0" collapsed="false">
      <c r="A59" s="14" t="s">
        <v>1345</v>
      </c>
      <c r="B59" s="15" t="n">
        <v>50000</v>
      </c>
      <c r="C59" s="16" t="s">
        <v>140</v>
      </c>
      <c r="D59" s="17"/>
      <c r="E59" s="17"/>
      <c r="F59" s="16" t="s">
        <v>1301</v>
      </c>
    </row>
    <row r="60" customFormat="false" ht="15" hidden="false" customHeight="true" outlineLevel="0" collapsed="false">
      <c r="A60" s="14" t="s">
        <v>1346</v>
      </c>
      <c r="B60" s="15" t="n">
        <v>12</v>
      </c>
      <c r="C60" s="16" t="s">
        <v>126</v>
      </c>
      <c r="D60" s="17"/>
      <c r="E60" s="17"/>
      <c r="F60" s="16" t="s">
        <v>1301</v>
      </c>
    </row>
    <row r="61" customFormat="false" ht="15" hidden="false" customHeight="true" outlineLevel="0" collapsed="false">
      <c r="A61" s="14" t="s">
        <v>1347</v>
      </c>
      <c r="B61" s="15" t="n">
        <v>80000</v>
      </c>
      <c r="C61" s="16" t="s">
        <v>140</v>
      </c>
      <c r="D61" s="17"/>
      <c r="E61" s="17"/>
      <c r="F61" s="16" t="s">
        <v>1301</v>
      </c>
    </row>
    <row r="62" customFormat="false" ht="15" hidden="false" customHeight="true" outlineLevel="0" collapsed="false">
      <c r="A62" s="14" t="s">
        <v>1348</v>
      </c>
      <c r="B62" s="15" t="n">
        <v>8</v>
      </c>
      <c r="C62" s="16" t="s">
        <v>126</v>
      </c>
      <c r="D62" s="17"/>
      <c r="E62" s="17"/>
      <c r="F62" s="16" t="s">
        <v>1301</v>
      </c>
    </row>
    <row r="63" customFormat="false" ht="15" hidden="false" customHeight="true" outlineLevel="0" collapsed="false">
      <c r="A63" s="14" t="s">
        <v>1349</v>
      </c>
      <c r="B63" s="19" t="n">
        <f aca="false">$B$61-$B$59</f>
        <v>30000</v>
      </c>
      <c r="C63" s="16" t="s">
        <v>140</v>
      </c>
      <c r="D63" s="20" t="n">
        <v>30000</v>
      </c>
      <c r="E63" s="21" t="str">
        <f aca="false">IF(ABS(B63-D63)&lt;=0.5,"OK","DIVERSO")</f>
        <v>OK</v>
      </c>
      <c r="F63" s="16" t="s">
        <v>1301</v>
      </c>
    </row>
    <row r="64" customFormat="false" ht="15" hidden="false" customHeight="true" outlineLevel="0" collapsed="false">
      <c r="A64" s="14" t="s">
        <v>1350</v>
      </c>
      <c r="B64" s="19" t="n">
        <f aca="false">$B$60-$B$62</f>
        <v>4</v>
      </c>
      <c r="C64" s="16" t="s">
        <v>126</v>
      </c>
      <c r="D64" s="20" t="n">
        <v>4</v>
      </c>
      <c r="E64" s="21" t="str">
        <f aca="false">IF(ABS(B64-D64)&lt;=0.5,"OK","DIVERSO")</f>
        <v>OK</v>
      </c>
      <c r="F64" s="16" t="s">
        <v>1301</v>
      </c>
    </row>
    <row r="65" customFormat="false" ht="15" hidden="false" customHeight="true" outlineLevel="0" collapsed="false">
      <c r="A65" s="14" t="s">
        <v>1351</v>
      </c>
      <c r="B65" s="19" t="n">
        <f aca="false">$B$63/$B$64</f>
        <v>7500</v>
      </c>
      <c r="C65" s="16" t="s">
        <v>123</v>
      </c>
      <c r="D65" s="20" t="n">
        <v>7500</v>
      </c>
      <c r="E65" s="21" t="str">
        <f aca="false">IF(ABS(B65-D65)&lt;=0.5,"OK","DIVERSO")</f>
        <v>OK</v>
      </c>
      <c r="F65" s="16" t="s">
        <v>1301</v>
      </c>
    </row>
    <row r="66" customFormat="false" ht="15" hidden="false" customHeight="true" outlineLevel="0" collapsed="false">
      <c r="A66" s="14" t="s">
        <v>302</v>
      </c>
      <c r="B66" s="15" t="n">
        <v>7600</v>
      </c>
      <c r="C66" s="16" t="s">
        <v>123</v>
      </c>
      <c r="D66" s="17"/>
      <c r="E66" s="17"/>
      <c r="F66" s="16" t="s">
        <v>1301</v>
      </c>
    </row>
    <row r="67" customFormat="false" ht="15" hidden="false" customHeight="true" outlineLevel="0" collapsed="false">
      <c r="A67" s="14" t="s">
        <v>1352</v>
      </c>
      <c r="B67" s="28" t="str">
        <f aca="false">IF($B$66&gt;$B$65,"B","A")</f>
        <v>B</v>
      </c>
      <c r="C67" s="16"/>
      <c r="D67" s="29" t="s">
        <v>1353</v>
      </c>
      <c r="E67" s="21" t="str">
        <f aca="false">IF(B67=D67,"OK","DIVERSO")</f>
        <v>OK</v>
      </c>
      <c r="F67" s="16" t="s">
        <v>1301</v>
      </c>
    </row>
    <row r="68" customFormat="false" ht="15" hidden="false" customHeight="true" outlineLevel="0" collapsed="false"/>
    <row r="69" customFormat="false" ht="15" hidden="false" customHeight="true" outlineLevel="0" collapsed="false">
      <c r="A69" s="13" t="s">
        <v>1354</v>
      </c>
      <c r="B69" s="13"/>
      <c r="C69" s="13"/>
      <c r="D69" s="13"/>
      <c r="E69" s="13"/>
      <c r="F69" s="13"/>
    </row>
    <row r="70" customFormat="false" ht="15" hidden="false" customHeight="true" outlineLevel="0" collapsed="false">
      <c r="A70" s="22" t="s">
        <v>1355</v>
      </c>
      <c r="B70" s="22"/>
      <c r="C70" s="22"/>
      <c r="D70" s="22"/>
      <c r="E70" s="22"/>
      <c r="F70" s="22"/>
    </row>
    <row r="71" customFormat="false" ht="15" hidden="false" customHeight="true" outlineLevel="0" collapsed="false">
      <c r="A71" s="6" t="s">
        <v>116</v>
      </c>
      <c r="B71" s="6" t="s">
        <v>117</v>
      </c>
      <c r="C71" s="6" t="s">
        <v>118</v>
      </c>
      <c r="D71" s="6" t="s">
        <v>119</v>
      </c>
      <c r="E71" s="6" t="s">
        <v>120</v>
      </c>
      <c r="F71" s="6" t="s">
        <v>121</v>
      </c>
    </row>
    <row r="72" customFormat="false" ht="15" hidden="false" customHeight="true" outlineLevel="0" collapsed="false">
      <c r="A72" s="14" t="s">
        <v>1356</v>
      </c>
      <c r="B72" s="15" t="n">
        <v>120000</v>
      </c>
      <c r="C72" s="16" t="s">
        <v>140</v>
      </c>
      <c r="D72" s="17"/>
      <c r="E72" s="17"/>
      <c r="F72" s="16" t="s">
        <v>1301</v>
      </c>
    </row>
    <row r="73" customFormat="false" ht="15" hidden="false" customHeight="true" outlineLevel="0" collapsed="false">
      <c r="A73" s="14" t="s">
        <v>1357</v>
      </c>
      <c r="B73" s="15" t="n">
        <v>80000</v>
      </c>
      <c r="C73" s="16" t="s">
        <v>140</v>
      </c>
      <c r="D73" s="17"/>
      <c r="E73" s="17"/>
      <c r="F73" s="16" t="s">
        <v>1301</v>
      </c>
    </row>
    <row r="74" customFormat="false" ht="15" hidden="false" customHeight="true" outlineLevel="0" collapsed="false">
      <c r="A74" s="14" t="s">
        <v>1358</v>
      </c>
      <c r="B74" s="15" t="n">
        <v>70000</v>
      </c>
      <c r="C74" s="16" t="s">
        <v>140</v>
      </c>
      <c r="D74" s="17"/>
      <c r="E74" s="17"/>
      <c r="F74" s="16" t="s">
        <v>1301</v>
      </c>
    </row>
    <row r="75" customFormat="false" ht="15" hidden="false" customHeight="true" outlineLevel="0" collapsed="false">
      <c r="A75" s="14" t="s">
        <v>1359</v>
      </c>
      <c r="B75" s="19" t="n">
        <f aca="false">$B$72-$B$73</f>
        <v>40000</v>
      </c>
      <c r="C75" s="16" t="s">
        <v>140</v>
      </c>
      <c r="D75" s="20" t="n">
        <v>40000</v>
      </c>
      <c r="E75" s="21" t="str">
        <f aca="false">IF(ABS(B75-D75)&lt;=0.5,"OK","DIVERSO")</f>
        <v>OK</v>
      </c>
      <c r="F75" s="16" t="s">
        <v>1301</v>
      </c>
    </row>
    <row r="76" customFormat="false" ht="15" hidden="false" customHeight="true" outlineLevel="0" collapsed="false">
      <c r="A76" s="14" t="s">
        <v>1360</v>
      </c>
      <c r="B76" s="19" t="n">
        <f aca="false">$B$75-$B$74</f>
        <v>-30000</v>
      </c>
      <c r="C76" s="16" t="s">
        <v>140</v>
      </c>
      <c r="D76" s="17"/>
      <c r="E76" s="17"/>
      <c r="F76" s="16" t="s">
        <v>1301</v>
      </c>
    </row>
    <row r="77" customFormat="false" ht="15" hidden="false" customHeight="true" outlineLevel="0" collapsed="false"/>
    <row r="78" customFormat="false" ht="15" hidden="false" customHeight="true" outlineLevel="0" collapsed="false">
      <c r="A78" s="13" t="s">
        <v>1361</v>
      </c>
      <c r="B78" s="13"/>
      <c r="C78" s="13"/>
      <c r="D78" s="13"/>
      <c r="E78" s="13"/>
      <c r="F78" s="13"/>
    </row>
    <row r="79" customFormat="false" ht="15" hidden="false" customHeight="true" outlineLevel="0" collapsed="false">
      <c r="A79" s="22" t="s">
        <v>1362</v>
      </c>
      <c r="B79" s="22"/>
      <c r="C79" s="22"/>
      <c r="D79" s="22"/>
      <c r="E79" s="22"/>
      <c r="F79" s="22"/>
    </row>
    <row r="80" customFormat="false" ht="15" hidden="false" customHeight="true" outlineLevel="0" collapsed="false">
      <c r="A80" s="6" t="s">
        <v>116</v>
      </c>
      <c r="B80" s="6" t="s">
        <v>117</v>
      </c>
      <c r="C80" s="6" t="s">
        <v>118</v>
      </c>
      <c r="D80" s="6" t="s">
        <v>119</v>
      </c>
      <c r="E80" s="6" t="s">
        <v>120</v>
      </c>
      <c r="F80" s="6" t="s">
        <v>121</v>
      </c>
    </row>
    <row r="81" customFormat="false" ht="15" hidden="false" customHeight="true" outlineLevel="0" collapsed="false">
      <c r="A81" s="14" t="s">
        <v>1363</v>
      </c>
      <c r="B81" s="19" t="n">
        <f aca="false">Impresa_guida!$B$24/Impresa_guida!$B$37</f>
        <v>5</v>
      </c>
      <c r="C81" s="16" t="s">
        <v>146</v>
      </c>
      <c r="D81" s="20" t="n">
        <v>5</v>
      </c>
      <c r="E81" s="21" t="str">
        <f aca="false">IF(ABS(B81-D81)&lt;=0.5,"OK","DIVERSO")</f>
        <v>OK</v>
      </c>
      <c r="F81" s="16" t="s">
        <v>1364</v>
      </c>
    </row>
    <row r="82" customFormat="false" ht="15" hidden="false" customHeight="true" outlineLevel="0" collapsed="false">
      <c r="A82" s="14" t="s">
        <v>1365</v>
      </c>
      <c r="B82" s="19" t="n">
        <f aca="false">$B$81*Impresa_guida!$B$16*Impresa_guida!$B$19</f>
        <v>30000</v>
      </c>
      <c r="C82" s="16" t="s">
        <v>140</v>
      </c>
      <c r="D82" s="20" t="n">
        <v>30000</v>
      </c>
      <c r="E82" s="21" t="str">
        <f aca="false">IF(ABS(B82-D82)&lt;=0.5,"OK","DIVERSO")</f>
        <v>OK</v>
      </c>
      <c r="F82" s="16" t="s">
        <v>1301</v>
      </c>
    </row>
    <row r="83" customFormat="false" ht="15" hidden="false" customHeight="true" outlineLevel="0" collapsed="false">
      <c r="A83" s="14" t="s">
        <v>1366</v>
      </c>
      <c r="B83" s="19" t="n">
        <f aca="false">(Impresa_guida!$B$41-Impresa_guida!$B$24)*Impresa_guida!$B$33/Impresa_guida!$B$34</f>
        <v>119492.025989368</v>
      </c>
      <c r="C83" s="16" t="s">
        <v>140</v>
      </c>
      <c r="D83" s="20" t="n">
        <v>119492</v>
      </c>
      <c r="E83" s="21" t="str">
        <f aca="false">IF(ABS(B83-D83)&lt;=0.5,"OK","DIVERSO")</f>
        <v>OK</v>
      </c>
      <c r="F83" s="16" t="s">
        <v>1301</v>
      </c>
    </row>
    <row r="84" customFormat="false" ht="15" hidden="false" customHeight="true" outlineLevel="0" collapsed="false">
      <c r="A84" s="14" t="s">
        <v>1367</v>
      </c>
      <c r="B84" s="19" t="n">
        <f aca="false">Impresa_guida!$B$33-Impresa_guida!$B$16*Impresa_guida!$B$18-$B$82-$B$83</f>
        <v>-47492.025989368</v>
      </c>
      <c r="C84" s="16" t="s">
        <v>140</v>
      </c>
      <c r="D84" s="20" t="n">
        <v>-47492</v>
      </c>
      <c r="E84" s="21" t="str">
        <f aca="false">IF(ABS(B84-D84)&lt;=0.5,"OK","DIVERSO")</f>
        <v>OK</v>
      </c>
      <c r="F84" s="16" t="s">
        <v>1301</v>
      </c>
    </row>
    <row r="85" customFormat="false" ht="15" hidden="false" customHeight="true" outlineLevel="0" collapsed="false">
      <c r="A85" s="14" t="s">
        <v>1368</v>
      </c>
      <c r="B85" s="19" t="n">
        <f aca="false">$B$82+$B$83</f>
        <v>149492.025989368</v>
      </c>
      <c r="C85" s="16" t="s">
        <v>140</v>
      </c>
      <c r="D85" s="20" t="n">
        <v>149492</v>
      </c>
      <c r="E85" s="21" t="str">
        <f aca="false">IF(ABS(B85-D85)&lt;=0.5,"OK","DIVERSO")</f>
        <v>OK</v>
      </c>
      <c r="F85" s="16" t="s">
        <v>1301</v>
      </c>
    </row>
    <row r="86" customFormat="false" ht="15" hidden="false" customHeight="true" outlineLevel="0" collapsed="false">
      <c r="A86" s="14" t="s">
        <v>1369</v>
      </c>
      <c r="B86" s="19" t="n">
        <f aca="false">Impresa_guida!$B$39*Impresa_guida!$B$33/Impresa_guida!$B$34</f>
        <v>14339.0431187242</v>
      </c>
      <c r="C86" s="16" t="s">
        <v>140</v>
      </c>
      <c r="D86" s="20" t="n">
        <v>14339</v>
      </c>
      <c r="E86" s="21" t="str">
        <f aca="false">IF(ABS(B86-D86)&lt;=0.5,"OK","DIVERSO")</f>
        <v>OK</v>
      </c>
      <c r="F86" s="16" t="s">
        <v>1301</v>
      </c>
    </row>
    <row r="87" customFormat="false" ht="15" hidden="false" customHeight="true" outlineLevel="0" collapsed="false">
      <c r="A87" s="14" t="s">
        <v>1370</v>
      </c>
      <c r="B87" s="19" t="n">
        <f aca="false">Cap_01!$B$44</f>
        <v>74000</v>
      </c>
      <c r="C87" s="16" t="s">
        <v>140</v>
      </c>
      <c r="D87" s="17"/>
      <c r="E87" s="17"/>
      <c r="F87" s="16" t="s">
        <v>1301</v>
      </c>
    </row>
    <row r="88" customFormat="false" ht="15" hidden="false" customHeight="true" outlineLevel="0" collapsed="false"/>
    <row r="89" customFormat="false" ht="15" hidden="false" customHeight="true" outlineLevel="0" collapsed="false">
      <c r="A89" s="13" t="s">
        <v>1371</v>
      </c>
      <c r="B89" s="13"/>
      <c r="C89" s="13"/>
      <c r="D89" s="13"/>
      <c r="E89" s="13"/>
      <c r="F89" s="13"/>
    </row>
    <row r="90" customFormat="false" ht="15" hidden="false" customHeight="true" outlineLevel="0" collapsed="false">
      <c r="A90" s="22" t="s">
        <v>1372</v>
      </c>
      <c r="B90" s="22"/>
      <c r="C90" s="22"/>
      <c r="D90" s="22"/>
      <c r="E90" s="22"/>
      <c r="F90" s="22"/>
    </row>
    <row r="91" customFormat="false" ht="15" hidden="false" customHeight="true" outlineLevel="0" collapsed="false">
      <c r="A91" s="6" t="s">
        <v>116</v>
      </c>
      <c r="B91" s="6" t="s">
        <v>117</v>
      </c>
      <c r="C91" s="6" t="s">
        <v>118</v>
      </c>
      <c r="D91" s="6" t="s">
        <v>119</v>
      </c>
      <c r="E91" s="6" t="s">
        <v>120</v>
      </c>
      <c r="F91" s="6" t="s">
        <v>121</v>
      </c>
    </row>
    <row r="92" customFormat="false" ht="15" hidden="false" customHeight="true" outlineLevel="0" collapsed="false">
      <c r="A92" s="14" t="s">
        <v>1373</v>
      </c>
      <c r="B92" s="19" t="n">
        <f aca="false">Impresa_guida!$B$9-Impresa_guida!$B$10</f>
        <v>63</v>
      </c>
      <c r="C92" s="16" t="s">
        <v>126</v>
      </c>
      <c r="D92" s="20" t="n">
        <v>63</v>
      </c>
      <c r="E92" s="21" t="str">
        <f aca="false">IF(ABS(B92-D92)&lt;=0.5,"OK","DIVERSO")</f>
        <v>OK</v>
      </c>
      <c r="F92" s="16" t="s">
        <v>1301</v>
      </c>
    </row>
    <row r="93" customFormat="false" ht="15" hidden="false" customHeight="true" outlineLevel="0" collapsed="false">
      <c r="A93" s="14" t="s">
        <v>1374</v>
      </c>
      <c r="B93" s="19" t="n">
        <f aca="false">$B$92/Impresa_guida!$B$11</f>
        <v>42</v>
      </c>
      <c r="C93" s="16" t="s">
        <v>146</v>
      </c>
      <c r="D93" s="20" t="n">
        <v>42</v>
      </c>
      <c r="E93" s="21" t="str">
        <f aca="false">IF(ABS(B93-D93)&lt;=0.5,"OK","DIVERSO")</f>
        <v>OK</v>
      </c>
      <c r="F93" s="16" t="s">
        <v>1301</v>
      </c>
    </row>
    <row r="94" customFormat="false" ht="15" hidden="false" customHeight="true" outlineLevel="0" collapsed="false">
      <c r="A94" s="14" t="s">
        <v>1375</v>
      </c>
      <c r="B94" s="19" t="n">
        <f aca="false">Impresa_guida!$B$13-Impresa_guida!$B$14</f>
        <v>38</v>
      </c>
      <c r="C94" s="16" t="s">
        <v>126</v>
      </c>
      <c r="D94" s="20" t="n">
        <v>38</v>
      </c>
      <c r="E94" s="21" t="str">
        <f aca="false">IF(ABS(B94-D94)&lt;=0.5,"OK","DIVERSO")</f>
        <v>OK</v>
      </c>
      <c r="F94" s="16" t="s">
        <v>1301</v>
      </c>
    </row>
    <row r="95" customFormat="false" ht="15" hidden="false" customHeight="true" outlineLevel="0" collapsed="false">
      <c r="A95" s="14" t="s">
        <v>1376</v>
      </c>
      <c r="B95" s="19" t="n">
        <f aca="false">$B$94/Impresa_guida!$B$15</f>
        <v>76</v>
      </c>
      <c r="C95" s="16" t="s">
        <v>146</v>
      </c>
      <c r="D95" s="20" t="n">
        <v>76</v>
      </c>
      <c r="E95" s="21" t="str">
        <f aca="false">IF(ABS(B95-D95)&lt;=0.5,"OK","DIVERSO")</f>
        <v>OK</v>
      </c>
      <c r="F95" s="16" t="s">
        <v>1301</v>
      </c>
    </row>
    <row r="96" customFormat="false" ht="15" hidden="false" customHeight="true" outlineLevel="0" collapsed="false">
      <c r="A96" s="14" t="s">
        <v>1377</v>
      </c>
      <c r="B96" s="19" t="n">
        <f aca="false">Impresa_guida!$B$17-Impresa_guida!$B$18</f>
        <v>51</v>
      </c>
      <c r="C96" s="16" t="s">
        <v>126</v>
      </c>
      <c r="D96" s="20" t="n">
        <v>51</v>
      </c>
      <c r="E96" s="21" t="str">
        <f aca="false">IF(ABS(B96-D96)&lt;=0.5,"OK","DIVERSO")</f>
        <v>OK</v>
      </c>
      <c r="F96" s="16" t="s">
        <v>1301</v>
      </c>
    </row>
    <row r="97" customFormat="false" ht="15" hidden="false" customHeight="true" outlineLevel="0" collapsed="false">
      <c r="A97" s="14" t="s">
        <v>1378</v>
      </c>
      <c r="B97" s="19" t="n">
        <f aca="false">$B$96/Impresa_guida!$B$19</f>
        <v>17</v>
      </c>
      <c r="C97" s="16" t="s">
        <v>146</v>
      </c>
      <c r="D97" s="20" t="n">
        <v>17</v>
      </c>
      <c r="E97" s="21" t="str">
        <f aca="false">IF(ABS(B97-D97)&lt;=0.5,"OK","DIVERSO")</f>
        <v>OK</v>
      </c>
      <c r="F97" s="16" t="s">
        <v>1301</v>
      </c>
    </row>
    <row r="98" customFormat="false" ht="15" hidden="false" customHeight="true" outlineLevel="0" collapsed="false">
      <c r="A98" s="14" t="s">
        <v>1379</v>
      </c>
      <c r="B98" s="19" t="n">
        <f aca="false">Impresa_guida!$B$8*Impresa_guida!$B$11</f>
        <v>12000</v>
      </c>
      <c r="C98" s="16" t="s">
        <v>144</v>
      </c>
      <c r="D98" s="20" t="n">
        <v>12000</v>
      </c>
      <c r="E98" s="21" t="str">
        <f aca="false">IF(ABS(B98-D98)&lt;=0.5,"OK","DIVERSO")</f>
        <v>OK</v>
      </c>
      <c r="F98" s="16" t="s">
        <v>1301</v>
      </c>
    </row>
    <row r="99" customFormat="false" ht="15" hidden="false" customHeight="true" outlineLevel="0" collapsed="false">
      <c r="A99" s="14" t="s">
        <v>1380</v>
      </c>
      <c r="B99" s="19" t="n">
        <f aca="false">Impresa_guida!$B$12*Impresa_guida!$B$15</f>
        <v>6000</v>
      </c>
      <c r="C99" s="16" t="s">
        <v>144</v>
      </c>
      <c r="D99" s="20" t="n">
        <v>6000</v>
      </c>
      <c r="E99" s="21" t="str">
        <f aca="false">IF(ABS(B99-D99)&lt;=0.5,"OK","DIVERSO")</f>
        <v>OK</v>
      </c>
      <c r="F99" s="16" t="s">
        <v>1301</v>
      </c>
    </row>
    <row r="100" customFormat="false" ht="15" hidden="false" customHeight="true" outlineLevel="0" collapsed="false">
      <c r="A100" s="14" t="s">
        <v>1381</v>
      </c>
      <c r="B100" s="19" t="n">
        <f aca="false">(Impresa_guida!$B$26-$B$98-$B$99)/Impresa_guida!$B$19</f>
        <v>1000</v>
      </c>
      <c r="C100" s="16" t="s">
        <v>123</v>
      </c>
      <c r="D100" s="20" t="n">
        <v>1000</v>
      </c>
      <c r="E100" s="21" t="str">
        <f aca="false">IF(ABS(B100-D100)&lt;=0.5,"OK","DIVERSO")</f>
        <v>OK</v>
      </c>
      <c r="F100" s="16" t="s">
        <v>1301</v>
      </c>
    </row>
    <row r="101" customFormat="false" ht="15" hidden="false" customHeight="true" outlineLevel="0" collapsed="false"/>
    <row r="102" customFormat="false" ht="15" hidden="false" customHeight="true" outlineLevel="0" collapsed="false">
      <c r="A102" s="13" t="s">
        <v>1382</v>
      </c>
      <c r="B102" s="13"/>
      <c r="C102" s="13"/>
      <c r="D102" s="13"/>
      <c r="E102" s="13"/>
      <c r="F102" s="13"/>
    </row>
    <row r="103" customFormat="false" ht="15" hidden="false" customHeight="true" outlineLevel="0" collapsed="false">
      <c r="A103" s="22" t="s">
        <v>1383</v>
      </c>
      <c r="B103" s="22"/>
      <c r="C103" s="22"/>
      <c r="D103" s="22"/>
      <c r="E103" s="22"/>
      <c r="F103" s="22"/>
    </row>
    <row r="104" customFormat="false" ht="15" hidden="false" customHeight="true" outlineLevel="0" collapsed="false">
      <c r="A104" s="6" t="s">
        <v>116</v>
      </c>
      <c r="B104" s="6" t="s">
        <v>117</v>
      </c>
      <c r="C104" s="6" t="s">
        <v>118</v>
      </c>
      <c r="D104" s="6" t="s">
        <v>119</v>
      </c>
      <c r="E104" s="6" t="s">
        <v>120</v>
      </c>
      <c r="F104" s="6" t="s">
        <v>121</v>
      </c>
    </row>
    <row r="105" customFormat="false" ht="15" hidden="false" customHeight="true" outlineLevel="0" collapsed="false">
      <c r="A105" s="14" t="s">
        <v>1384</v>
      </c>
      <c r="B105" s="19" t="n">
        <f aca="false">Impresa_guida!$B$37</f>
        <v>24000</v>
      </c>
      <c r="C105" s="16" t="s">
        <v>144</v>
      </c>
      <c r="D105" s="20" t="n">
        <v>24000</v>
      </c>
      <c r="E105" s="21" t="str">
        <f aca="false">IF(ABS(B105-D105)&lt;=0.5,"OK","DIVERSO")</f>
        <v>OK</v>
      </c>
      <c r="F105" s="16" t="s">
        <v>1301</v>
      </c>
    </row>
    <row r="106" customFormat="false" ht="15" hidden="false" customHeight="true" outlineLevel="0" collapsed="false">
      <c r="A106" s="14" t="s">
        <v>1385</v>
      </c>
      <c r="B106" s="19" t="n">
        <f aca="false">$B$98+$B$99</f>
        <v>18000</v>
      </c>
      <c r="C106" s="16" t="s">
        <v>144</v>
      </c>
      <c r="D106" s="20" t="n">
        <v>18000</v>
      </c>
      <c r="E106" s="21" t="str">
        <f aca="false">IF(ABS(B106-D106)&lt;=0.5,"OK","DIVERSO")</f>
        <v>OK</v>
      </c>
      <c r="F106" s="16" t="s">
        <v>1301</v>
      </c>
    </row>
    <row r="107" customFormat="false" ht="15" hidden="false" customHeight="true" outlineLevel="0" collapsed="false">
      <c r="A107" s="14" t="s">
        <v>1386</v>
      </c>
      <c r="B107" s="19" t="n">
        <f aca="false">$B$98+$B$99+$B$100*Impresa_guida!$B$19</f>
        <v>21000</v>
      </c>
      <c r="C107" s="16" t="s">
        <v>144</v>
      </c>
      <c r="D107" s="20" t="n">
        <v>21000</v>
      </c>
      <c r="E107" s="21" t="str">
        <f aca="false">IF(ABS(B107-D107)&lt;=0.5,"OK","DIVERSO")</f>
        <v>OK</v>
      </c>
      <c r="F107" s="16" t="s">
        <v>1301</v>
      </c>
    </row>
    <row r="108" customFormat="false" ht="15" hidden="false" customHeight="true" outlineLevel="0" collapsed="false">
      <c r="A108" s="14" t="s">
        <v>1387</v>
      </c>
      <c r="B108" s="19" t="n">
        <f aca="false">Impresa_guida!$B$36</f>
        <v>1062000</v>
      </c>
      <c r="C108" s="16" t="s">
        <v>140</v>
      </c>
      <c r="D108" s="20" t="n">
        <v>1062000</v>
      </c>
      <c r="E108" s="21" t="str">
        <f aca="false">IF(ABS(B108-D108)&lt;=0.5,"OK","DIVERSO")</f>
        <v>OK</v>
      </c>
      <c r="F108" s="16" t="s">
        <v>1301</v>
      </c>
    </row>
    <row r="109" customFormat="false" ht="15" hidden="false" customHeight="true" outlineLevel="0" collapsed="false">
      <c r="A109" s="14" t="s">
        <v>1388</v>
      </c>
      <c r="B109" s="19" t="n">
        <f aca="false">Impresa_guida!$B$36-$B$96*Impresa_guida!$B$16</f>
        <v>960000</v>
      </c>
      <c r="C109" s="16" t="s">
        <v>140</v>
      </c>
      <c r="D109" s="20" t="n">
        <v>960000</v>
      </c>
      <c r="E109" s="21" t="str">
        <f aca="false">IF(ABS(B109-D109)&lt;=0.5,"OK","DIVERSO")</f>
        <v>OK</v>
      </c>
      <c r="F109" s="16" t="s">
        <v>1301</v>
      </c>
    </row>
    <row r="110" customFormat="false" ht="15" hidden="false" customHeight="true" outlineLevel="0" collapsed="false">
      <c r="A110" s="14" t="s">
        <v>1389</v>
      </c>
      <c r="B110" s="19" t="n">
        <f aca="false">Impresa_guida!$B$36-$B$96*(Impresa_guida!$B$16-$B$100)</f>
        <v>1011000</v>
      </c>
      <c r="C110" s="16" t="s">
        <v>140</v>
      </c>
      <c r="D110" s="20" t="n">
        <v>1011000</v>
      </c>
      <c r="E110" s="21" t="str">
        <f aca="false">IF(ABS(B110-D110)&lt;=0.5,"OK","DIVERSO")</f>
        <v>OK</v>
      </c>
      <c r="F110" s="16" t="s">
        <v>1301</v>
      </c>
    </row>
    <row r="111" customFormat="false" ht="15" hidden="false" customHeight="true" outlineLevel="0" collapsed="false">
      <c r="A111" s="14" t="s">
        <v>1390</v>
      </c>
      <c r="B111" s="19" t="n">
        <f aca="false">Impresa_guida!$B$40</f>
        <v>736000</v>
      </c>
      <c r="C111" s="16" t="s">
        <v>140</v>
      </c>
      <c r="D111" s="20" t="n">
        <v>736000</v>
      </c>
      <c r="E111" s="21" t="str">
        <f aca="false">IF(ABS(B111-D111)&lt;=0.5,"OK","DIVERSO")</f>
        <v>OK</v>
      </c>
      <c r="F111" s="16" t="s">
        <v>1301</v>
      </c>
    </row>
    <row r="112" customFormat="false" ht="15" hidden="false" customHeight="true" outlineLevel="0" collapsed="false">
      <c r="A112" s="14" t="s">
        <v>1391</v>
      </c>
      <c r="B112" s="19" t="n">
        <f aca="false">MAX($B$105-Impresa_guida!$B$26,0)*Impresa_guida!$B$27</f>
        <v>84000</v>
      </c>
      <c r="C112" s="16" t="s">
        <v>140</v>
      </c>
      <c r="D112" s="20" t="n">
        <v>84000</v>
      </c>
      <c r="E112" s="21" t="str">
        <f aca="false">IF(ABS(B112-D112)&lt;=0.5,"OK","DIVERSO")</f>
        <v>OK</v>
      </c>
      <c r="F112" s="16" t="s">
        <v>1301</v>
      </c>
    </row>
    <row r="113" customFormat="false" ht="15" hidden="false" customHeight="true" outlineLevel="0" collapsed="false">
      <c r="A113" s="14" t="s">
        <v>1392</v>
      </c>
      <c r="B113" s="19" t="n">
        <f aca="false">MAX($B$106-Impresa_guida!$B$26,0)*Impresa_guida!$B$27</f>
        <v>0</v>
      </c>
      <c r="C113" s="16" t="s">
        <v>140</v>
      </c>
      <c r="D113" s="20" t="n">
        <v>0</v>
      </c>
      <c r="E113" s="21" t="str">
        <f aca="false">IF(ABS(B113-D113)&lt;=0.5,"OK","DIVERSO")</f>
        <v>OK</v>
      </c>
      <c r="F113" s="16" t="s">
        <v>1301</v>
      </c>
    </row>
    <row r="114" customFormat="false" ht="15" hidden="false" customHeight="true" outlineLevel="0" collapsed="false">
      <c r="A114" s="14" t="s">
        <v>1393</v>
      </c>
      <c r="B114" s="19" t="n">
        <f aca="false">MAX($B$107-Impresa_guida!$B$26,0)*Impresa_guida!$B$27</f>
        <v>0</v>
      </c>
      <c r="C114" s="16" t="s">
        <v>140</v>
      </c>
      <c r="D114" s="20" t="n">
        <v>0</v>
      </c>
      <c r="E114" s="21" t="str">
        <f aca="false">IF(ABS(B114-D114)&lt;=0.5,"OK","DIVERSO")</f>
        <v>OK</v>
      </c>
      <c r="F114" s="16" t="s">
        <v>1301</v>
      </c>
    </row>
    <row r="115" customFormat="false" ht="15" hidden="false" customHeight="true" outlineLevel="0" collapsed="false">
      <c r="A115" s="14" t="s">
        <v>1394</v>
      </c>
      <c r="B115" s="19" t="n">
        <f aca="false">$B$108-$B$111-$B$112</f>
        <v>242000</v>
      </c>
      <c r="C115" s="16" t="s">
        <v>140</v>
      </c>
      <c r="D115" s="20" t="n">
        <v>242000</v>
      </c>
      <c r="E115" s="21" t="str">
        <f aca="false">IF(ABS(B115-D115)&lt;=0.5,"OK","DIVERSO")</f>
        <v>OK</v>
      </c>
      <c r="F115" s="16" t="s">
        <v>1301</v>
      </c>
    </row>
    <row r="116" customFormat="false" ht="15" hidden="false" customHeight="true" outlineLevel="0" collapsed="false">
      <c r="A116" s="14" t="s">
        <v>1395</v>
      </c>
      <c r="B116" s="19" t="n">
        <f aca="false">$B$109-$B$111-$B$113</f>
        <v>224000</v>
      </c>
      <c r="C116" s="16" t="s">
        <v>140</v>
      </c>
      <c r="D116" s="20" t="n">
        <v>224000</v>
      </c>
      <c r="E116" s="21" t="str">
        <f aca="false">IF(ABS(B116-D116)&lt;=0.5,"OK","DIVERSO")</f>
        <v>OK</v>
      </c>
      <c r="F116" s="16" t="s">
        <v>1301</v>
      </c>
    </row>
    <row r="117" customFormat="false" ht="15" hidden="false" customHeight="true" outlineLevel="0" collapsed="false">
      <c r="A117" s="14" t="s">
        <v>1396</v>
      </c>
      <c r="B117" s="19" t="n">
        <f aca="false">$B$110-$B$111-$B$114</f>
        <v>275000</v>
      </c>
      <c r="C117" s="16" t="s">
        <v>140</v>
      </c>
      <c r="D117" s="20" t="n">
        <v>275000</v>
      </c>
      <c r="E117" s="21" t="str">
        <f aca="false">IF(ABS(B117-D117)&lt;=0.5,"OK","DIVERSO")</f>
        <v>OK</v>
      </c>
      <c r="F117" s="16" t="s">
        <v>1301</v>
      </c>
    </row>
    <row r="118" customFormat="false" ht="15" hidden="false" customHeight="true" outlineLevel="0" collapsed="false">
      <c r="A118" s="14" t="s">
        <v>1397</v>
      </c>
      <c r="B118" s="19" t="n">
        <f aca="false">$B$116-$B$115</f>
        <v>-18000</v>
      </c>
      <c r="C118" s="16" t="s">
        <v>140</v>
      </c>
      <c r="D118" s="20" t="n">
        <v>-18000</v>
      </c>
      <c r="E118" s="21" t="str">
        <f aca="false">IF(ABS(B118-D118)&lt;=0.5,"OK","DIVERSO")</f>
        <v>OK</v>
      </c>
      <c r="F118" s="16" t="s">
        <v>1301</v>
      </c>
    </row>
    <row r="119" customFormat="false" ht="15" hidden="false" customHeight="true" outlineLevel="0" collapsed="false">
      <c r="A119" s="14" t="s">
        <v>1398</v>
      </c>
      <c r="B119" s="19" t="n">
        <f aca="false">$B$117-$B$115</f>
        <v>33000</v>
      </c>
      <c r="C119" s="16" t="s">
        <v>140</v>
      </c>
      <c r="D119" s="20" t="n">
        <v>33000</v>
      </c>
      <c r="E119" s="21" t="str">
        <f aca="false">IF(ABS(B119-D119)&lt;=0.5,"OK","DIVERSO")</f>
        <v>OK</v>
      </c>
      <c r="F119" s="16" t="s">
        <v>1301</v>
      </c>
    </row>
    <row r="120" customFormat="false" ht="15" hidden="false" customHeight="true" outlineLevel="0" collapsed="false"/>
    <row r="121" customFormat="false" ht="15" hidden="false" customHeight="true" outlineLevel="0" collapsed="false">
      <c r="A121" s="13" t="s">
        <v>1399</v>
      </c>
      <c r="B121" s="13"/>
      <c r="C121" s="13"/>
      <c r="D121" s="13"/>
      <c r="E121" s="13"/>
      <c r="F121" s="13"/>
    </row>
    <row r="122" customFormat="false" ht="15" hidden="false" customHeight="true" outlineLevel="0" collapsed="false">
      <c r="A122" s="22" t="s">
        <v>1400</v>
      </c>
      <c r="B122" s="22"/>
      <c r="C122" s="22"/>
      <c r="D122" s="22"/>
      <c r="E122" s="22"/>
      <c r="F122" s="22"/>
    </row>
    <row r="123" customFormat="false" ht="15" hidden="false" customHeight="true" outlineLevel="0" collapsed="false">
      <c r="A123" s="6" t="s">
        <v>116</v>
      </c>
      <c r="B123" s="6" t="s">
        <v>117</v>
      </c>
      <c r="C123" s="6" t="s">
        <v>118</v>
      </c>
      <c r="D123" s="6" t="s">
        <v>119</v>
      </c>
      <c r="E123" s="6" t="s">
        <v>120</v>
      </c>
      <c r="F123" s="6" t="s">
        <v>121</v>
      </c>
    </row>
    <row r="124" customFormat="false" ht="15" hidden="false" customHeight="true" outlineLevel="0" collapsed="false">
      <c r="A124" s="14" t="s">
        <v>1401</v>
      </c>
      <c r="B124" s="19" t="n">
        <f aca="false">$B$108-$B$109</f>
        <v>102000</v>
      </c>
      <c r="C124" s="16" t="s">
        <v>140</v>
      </c>
      <c r="D124" s="20" t="n">
        <v>102000</v>
      </c>
      <c r="E124" s="21" t="str">
        <f aca="false">IF(ABS(B124-D124)&lt;=0.5,"OK","DIVERSO")</f>
        <v>OK</v>
      </c>
      <c r="F124" s="16" t="s">
        <v>1301</v>
      </c>
    </row>
    <row r="125" customFormat="false" ht="15" hidden="false" customHeight="true" outlineLevel="0" collapsed="false">
      <c r="A125" s="14" t="s">
        <v>1402</v>
      </c>
      <c r="B125" s="19" t="n">
        <f aca="false">$B$108-$B$110</f>
        <v>51000</v>
      </c>
      <c r="C125" s="16" t="s">
        <v>140</v>
      </c>
      <c r="D125" s="20" t="n">
        <v>51000</v>
      </c>
      <c r="E125" s="21" t="str">
        <f aca="false">IF(ABS(B125-D125)&lt;=0.5,"OK","DIVERSO")</f>
        <v>OK</v>
      </c>
      <c r="F125" s="16" t="s">
        <v>1301</v>
      </c>
    </row>
    <row r="126" customFormat="false" ht="15" hidden="false" customHeight="true" outlineLevel="0" collapsed="false">
      <c r="A126" s="14" t="s">
        <v>1403</v>
      </c>
      <c r="B126" s="19" t="n">
        <f aca="false">$B$105-$B$106</f>
        <v>6000</v>
      </c>
      <c r="C126" s="16" t="s">
        <v>144</v>
      </c>
      <c r="D126" s="20" t="n">
        <v>6000</v>
      </c>
      <c r="E126" s="21" t="str">
        <f aca="false">IF(ABS(B126-D126)&lt;=0.5,"OK","DIVERSO")</f>
        <v>OK</v>
      </c>
      <c r="F126" s="16" t="s">
        <v>1301</v>
      </c>
    </row>
    <row r="127" customFormat="false" ht="15" hidden="false" customHeight="true" outlineLevel="0" collapsed="false">
      <c r="A127" s="14" t="s">
        <v>1404</v>
      </c>
      <c r="B127" s="19" t="n">
        <f aca="false">Impresa_guida!$B$26-$B$106</f>
        <v>3000</v>
      </c>
      <c r="C127" s="16" t="s">
        <v>144</v>
      </c>
      <c r="D127" s="20" t="n">
        <v>3000</v>
      </c>
      <c r="E127" s="21" t="str">
        <f aca="false">IF(ABS(B127-D127)&lt;=0.5,"OK","DIVERSO")</f>
        <v>OK</v>
      </c>
      <c r="F127" s="16" t="s">
        <v>1301</v>
      </c>
    </row>
    <row r="128" customFormat="false" ht="15" hidden="false" customHeight="true" outlineLevel="0" collapsed="false">
      <c r="A128" s="14" t="s">
        <v>1405</v>
      </c>
      <c r="B128" s="19" t="n">
        <f aca="false">$B$125/($B$105-Impresa_guida!$B$26)</f>
        <v>17</v>
      </c>
      <c r="C128" s="16" t="s">
        <v>146</v>
      </c>
      <c r="D128" s="20" t="n">
        <v>17</v>
      </c>
      <c r="E128" s="21" t="str">
        <f aca="false">IF(ABS(B128-D128)&lt;=0.5,"OK","DIVERSO")</f>
        <v>OK</v>
      </c>
      <c r="F128" s="16" t="s">
        <v>1301</v>
      </c>
    </row>
    <row r="129" customFormat="false" ht="15" hidden="false" customHeight="true" outlineLevel="0" collapsed="false">
      <c r="A129" s="14" t="s">
        <v>1406</v>
      </c>
      <c r="B129" s="28" t="str">
        <f aca="false">IF(AND($B$117&gt;$B$115,$B$117&gt;$B$116),"Ridurre C a 1.000",IF($B$116&gt;$B$115,"Eliminare C","Mantenere C"))</f>
        <v>Ridurre C a 1.000</v>
      </c>
      <c r="C129" s="16"/>
      <c r="D129" s="29" t="s">
        <v>1407</v>
      </c>
      <c r="E129" s="21" t="str">
        <f aca="false">IF(B129=D129,"OK","DIVERSO")</f>
        <v>OK</v>
      </c>
      <c r="F129" s="16" t="s">
        <v>1301</v>
      </c>
    </row>
  </sheetData>
  <mergeCells count="20">
    <mergeCell ref="A1:F1"/>
    <mergeCell ref="A4:F4"/>
    <mergeCell ref="A6:F6"/>
    <mergeCell ref="A7:F7"/>
    <mergeCell ref="A15:F15"/>
    <mergeCell ref="A16:F16"/>
    <mergeCell ref="A43:F43"/>
    <mergeCell ref="A44:F44"/>
    <mergeCell ref="A56:F56"/>
    <mergeCell ref="A57:F57"/>
    <mergeCell ref="A69:F69"/>
    <mergeCell ref="A70:F70"/>
    <mergeCell ref="A78:F78"/>
    <mergeCell ref="A79:F79"/>
    <mergeCell ref="A89:F89"/>
    <mergeCell ref="A90:F90"/>
    <mergeCell ref="A102:F102"/>
    <mergeCell ref="A103:F103"/>
    <mergeCell ref="A121:F121"/>
    <mergeCell ref="A122:F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64</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1408</v>
      </c>
      <c r="B4" s="5"/>
      <c r="C4" s="5"/>
      <c r="D4" s="5"/>
      <c r="E4" s="5"/>
      <c r="F4" s="5"/>
    </row>
    <row r="5" customFormat="false" ht="15" hidden="false" customHeight="true" outlineLevel="0" collapsed="false"/>
    <row r="6" customFormat="false" ht="15" hidden="false" customHeight="true" outlineLevel="0" collapsed="false">
      <c r="A6" s="13" t="s">
        <v>1409</v>
      </c>
      <c r="B6" s="13"/>
      <c r="C6" s="13"/>
      <c r="D6" s="13"/>
      <c r="E6" s="13"/>
      <c r="F6" s="13"/>
    </row>
    <row r="7" customFormat="false" ht="15" hidden="false" customHeight="true" outlineLevel="0" collapsed="false">
      <c r="A7" s="22" t="s">
        <v>1410</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1411</v>
      </c>
      <c r="B9" s="15" t="n">
        <v>10000</v>
      </c>
      <c r="C9" s="16" t="s">
        <v>123</v>
      </c>
      <c r="D9" s="17"/>
      <c r="E9" s="17"/>
      <c r="F9" s="16" t="s">
        <v>1364</v>
      </c>
    </row>
    <row r="10" customFormat="false" ht="15" hidden="false" customHeight="true" outlineLevel="0" collapsed="false">
      <c r="A10" s="14" t="s">
        <v>1412</v>
      </c>
      <c r="B10" s="15" t="n">
        <v>6</v>
      </c>
      <c r="C10" s="16" t="s">
        <v>126</v>
      </c>
      <c r="D10" s="17"/>
      <c r="E10" s="17"/>
      <c r="F10" s="16" t="s">
        <v>1364</v>
      </c>
    </row>
    <row r="11" customFormat="false" ht="15" hidden="false" customHeight="true" outlineLevel="0" collapsed="false">
      <c r="A11" s="14" t="s">
        <v>1413</v>
      </c>
      <c r="B11" s="15" t="n">
        <v>4</v>
      </c>
      <c r="C11" s="16" t="s">
        <v>126</v>
      </c>
      <c r="D11" s="17"/>
      <c r="E11" s="17"/>
      <c r="F11" s="16" t="s">
        <v>1364</v>
      </c>
    </row>
    <row r="12" customFormat="false" ht="15" hidden="false" customHeight="true" outlineLevel="0" collapsed="false">
      <c r="A12" s="14" t="s">
        <v>1414</v>
      </c>
      <c r="B12" s="15" t="n">
        <v>2</v>
      </c>
      <c r="C12" s="16" t="s">
        <v>126</v>
      </c>
      <c r="D12" s="17"/>
      <c r="E12" s="17"/>
      <c r="F12" s="16" t="s">
        <v>1364</v>
      </c>
    </row>
    <row r="13" customFormat="false" ht="15" hidden="false" customHeight="true" outlineLevel="0" collapsed="false">
      <c r="A13" s="14" t="s">
        <v>1415</v>
      </c>
      <c r="B13" s="15" t="n">
        <v>6</v>
      </c>
      <c r="C13" s="16" t="s">
        <v>126</v>
      </c>
      <c r="D13" s="17"/>
      <c r="E13" s="17"/>
      <c r="F13" s="16" t="s">
        <v>1364</v>
      </c>
    </row>
    <row r="14" customFormat="false" ht="15" hidden="false" customHeight="true" outlineLevel="0" collapsed="false">
      <c r="A14" s="14" t="s">
        <v>1416</v>
      </c>
      <c r="B14" s="15" t="n">
        <v>2</v>
      </c>
      <c r="C14" s="16" t="s">
        <v>126</v>
      </c>
      <c r="D14" s="17"/>
      <c r="E14" s="17"/>
      <c r="F14" s="16" t="s">
        <v>1364</v>
      </c>
    </row>
    <row r="15" customFormat="false" ht="15" hidden="false" customHeight="true" outlineLevel="0" collapsed="false">
      <c r="A15" s="14" t="s">
        <v>1417</v>
      </c>
      <c r="B15" s="15" t="n">
        <v>14</v>
      </c>
      <c r="C15" s="16" t="s">
        <v>126</v>
      </c>
      <c r="D15" s="17"/>
      <c r="E15" s="17"/>
      <c r="F15" s="16" t="s">
        <v>1364</v>
      </c>
    </row>
    <row r="16" customFormat="false" ht="15" hidden="false" customHeight="true" outlineLevel="0" collapsed="false">
      <c r="A16" s="14" t="s">
        <v>1418</v>
      </c>
      <c r="B16" s="15" t="n">
        <v>8000</v>
      </c>
      <c r="C16" s="16" t="s">
        <v>140</v>
      </c>
      <c r="D16" s="17"/>
      <c r="E16" s="17"/>
      <c r="F16" s="16" t="s">
        <v>1364</v>
      </c>
    </row>
    <row r="17" customFormat="false" ht="15" hidden="false" customHeight="true" outlineLevel="0" collapsed="false">
      <c r="A17" s="14" t="s">
        <v>1419</v>
      </c>
      <c r="B17" s="19" t="n">
        <f aca="false">$B$10+$B$11+$B$12+$B$13</f>
        <v>18</v>
      </c>
      <c r="C17" s="16" t="s">
        <v>126</v>
      </c>
      <c r="D17" s="20" t="n">
        <v>18</v>
      </c>
      <c r="E17" s="21" t="str">
        <f aca="false">IF(ABS(B17-D17)&lt;=0.5,"OK","DIVERSO")</f>
        <v>OK</v>
      </c>
      <c r="F17" s="16" t="s">
        <v>1364</v>
      </c>
    </row>
    <row r="18" customFormat="false" ht="15" hidden="false" customHeight="true" outlineLevel="0" collapsed="false">
      <c r="A18" s="14" t="s">
        <v>1420</v>
      </c>
      <c r="B18" s="19" t="n">
        <f aca="false">$B$17-$B$15</f>
        <v>4</v>
      </c>
      <c r="C18" s="16" t="s">
        <v>126</v>
      </c>
      <c r="D18" s="20" t="n">
        <v>4</v>
      </c>
      <c r="E18" s="21" t="str">
        <f aca="false">IF(ABS(B18-D18)&lt;=0.5,"OK","DIVERSO")</f>
        <v>OK</v>
      </c>
      <c r="F18" s="16" t="s">
        <v>1364</v>
      </c>
    </row>
    <row r="19" customFormat="false" ht="15" hidden="false" customHeight="true" outlineLevel="0" collapsed="false">
      <c r="A19" s="14" t="s">
        <v>1421</v>
      </c>
      <c r="B19" s="19" t="n">
        <f aca="false">$B$9*$B$10</f>
        <v>60000</v>
      </c>
      <c r="C19" s="16" t="s">
        <v>140</v>
      </c>
      <c r="D19" s="20" t="n">
        <v>60000</v>
      </c>
      <c r="E19" s="21" t="str">
        <f aca="false">IF(ABS(B19-D19)&lt;=0.5,"OK","DIVERSO")</f>
        <v>OK</v>
      </c>
      <c r="F19" s="16" t="s">
        <v>1364</v>
      </c>
    </row>
    <row r="20" customFormat="false" ht="15" hidden="false" customHeight="true" outlineLevel="0" collapsed="false">
      <c r="A20" s="14" t="s">
        <v>1422</v>
      </c>
      <c r="B20" s="19" t="n">
        <f aca="false">$B$9*$B$11</f>
        <v>40000</v>
      </c>
      <c r="C20" s="16" t="s">
        <v>140</v>
      </c>
      <c r="D20" s="20" t="n">
        <v>40000</v>
      </c>
      <c r="E20" s="21" t="str">
        <f aca="false">IF(ABS(B20-D20)&lt;=0.5,"OK","DIVERSO")</f>
        <v>OK</v>
      </c>
      <c r="F20" s="16" t="s">
        <v>1364</v>
      </c>
    </row>
    <row r="21" customFormat="false" ht="15" hidden="false" customHeight="true" outlineLevel="0" collapsed="false">
      <c r="A21" s="14" t="s">
        <v>1423</v>
      </c>
      <c r="B21" s="19" t="n">
        <f aca="false">$B$9*$B$12</f>
        <v>20000</v>
      </c>
      <c r="C21" s="16" t="s">
        <v>140</v>
      </c>
      <c r="D21" s="20" t="n">
        <v>20000</v>
      </c>
      <c r="E21" s="21" t="str">
        <f aca="false">IF(ABS(B21-D21)&lt;=0.5,"OK","DIVERSO")</f>
        <v>OK</v>
      </c>
      <c r="F21" s="16" t="s">
        <v>1364</v>
      </c>
    </row>
    <row r="22" customFormat="false" ht="15" hidden="false" customHeight="true" outlineLevel="0" collapsed="false">
      <c r="A22" s="14" t="s">
        <v>1424</v>
      </c>
      <c r="B22" s="19" t="n">
        <f aca="false">$B$9*$B$14</f>
        <v>20000</v>
      </c>
      <c r="C22" s="16" t="s">
        <v>140</v>
      </c>
      <c r="D22" s="20" t="n">
        <v>20000</v>
      </c>
      <c r="E22" s="21" t="str">
        <f aca="false">IF(ABS(B22-D22)&lt;=0.5,"OK","DIVERSO")</f>
        <v>OK</v>
      </c>
      <c r="F22" s="16" t="s">
        <v>1364</v>
      </c>
    </row>
    <row r="23" customFormat="false" ht="15" hidden="false" customHeight="true" outlineLevel="0" collapsed="false">
      <c r="A23" s="14" t="s">
        <v>1425</v>
      </c>
      <c r="B23" s="19" t="n">
        <f aca="false">$B$19+$B$20+$B$21+$B$22</f>
        <v>140000</v>
      </c>
      <c r="C23" s="16" t="s">
        <v>140</v>
      </c>
      <c r="D23" s="20" t="n">
        <v>140000</v>
      </c>
      <c r="E23" s="21" t="str">
        <f aca="false">IF(ABS(B23-D23)&lt;=0.5,"OK","DIVERSO")</f>
        <v>OK</v>
      </c>
      <c r="F23" s="16" t="s">
        <v>1364</v>
      </c>
    </row>
    <row r="24" customFormat="false" ht="15" hidden="false" customHeight="true" outlineLevel="0" collapsed="false">
      <c r="A24" s="14" t="s">
        <v>1426</v>
      </c>
      <c r="B24" s="19" t="n">
        <f aca="false">$B$9*$B$15</f>
        <v>140000</v>
      </c>
      <c r="C24" s="16" t="s">
        <v>140</v>
      </c>
      <c r="D24" s="20" t="n">
        <v>140000</v>
      </c>
      <c r="E24" s="21" t="str">
        <f aca="false">IF(ABS(B24-D24)&lt;=0.5,"OK","DIVERSO")</f>
        <v>OK</v>
      </c>
      <c r="F24" s="16" t="s">
        <v>1364</v>
      </c>
    </row>
    <row r="25" customFormat="false" ht="15" hidden="false" customHeight="true" outlineLevel="0" collapsed="false">
      <c r="A25" s="14" t="s">
        <v>1427</v>
      </c>
      <c r="B25" s="19" t="n">
        <f aca="false">$B$24+$B$16</f>
        <v>148000</v>
      </c>
      <c r="C25" s="16" t="s">
        <v>140</v>
      </c>
      <c r="D25" s="20" t="n">
        <v>148000</v>
      </c>
      <c r="E25" s="21" t="str">
        <f aca="false">IF(ABS(B25-D25)&lt;=0.5,"OK","DIVERSO")</f>
        <v>OK</v>
      </c>
      <c r="F25" s="16" t="s">
        <v>1364</v>
      </c>
    </row>
    <row r="26" customFormat="false" ht="15" hidden="false" customHeight="true" outlineLevel="0" collapsed="false">
      <c r="A26" s="14" t="s">
        <v>1428</v>
      </c>
      <c r="B26" s="19" t="n">
        <f aca="false">$B$25-$B$23</f>
        <v>8000</v>
      </c>
      <c r="C26" s="16" t="s">
        <v>140</v>
      </c>
      <c r="D26" s="20" t="n">
        <v>8000</v>
      </c>
      <c r="E26" s="21" t="str">
        <f aca="false">IF(ABS(B26-D26)&lt;=0.5,"OK","DIVERSO")</f>
        <v>OK</v>
      </c>
      <c r="F26" s="16" t="s">
        <v>1364</v>
      </c>
    </row>
    <row r="27" customFormat="false" ht="15" hidden="false" customHeight="true" outlineLevel="0" collapsed="false">
      <c r="A27" s="14" t="s">
        <v>1429</v>
      </c>
      <c r="B27" s="19" t="n">
        <f aca="false">$B$9*($B$13-$B$14)</f>
        <v>40000</v>
      </c>
      <c r="C27" s="16" t="s">
        <v>140</v>
      </c>
      <c r="D27" s="20" t="n">
        <v>40000</v>
      </c>
      <c r="E27" s="21" t="str">
        <f aca="false">IF(ABS(B27-D27)&lt;=0.5,"OK","DIVERSO")</f>
        <v>OK</v>
      </c>
      <c r="F27" s="16" t="s">
        <v>1364</v>
      </c>
    </row>
    <row r="28" customFormat="false" ht="15" hidden="false" customHeight="true" outlineLevel="0" collapsed="false">
      <c r="A28" s="14" t="s">
        <v>1430</v>
      </c>
      <c r="B28" s="28" t="str">
        <f aca="false">IF($B$23&lt;$B$25,"Make","Buy")</f>
        <v>Make</v>
      </c>
      <c r="C28" s="16"/>
      <c r="D28" s="29" t="s">
        <v>1431</v>
      </c>
      <c r="E28" s="21" t="str">
        <f aca="false">IF(B28=D28,"OK","DIVERSO")</f>
        <v>OK</v>
      </c>
      <c r="F28" s="16" t="s">
        <v>1364</v>
      </c>
    </row>
    <row r="29" customFormat="false" ht="15" hidden="false" customHeight="true" outlineLevel="0" collapsed="false"/>
    <row r="30" customFormat="false" ht="15" hidden="false" customHeight="true" outlineLevel="0" collapsed="false">
      <c r="A30" s="13" t="s">
        <v>1432</v>
      </c>
      <c r="B30" s="13"/>
      <c r="C30" s="13"/>
      <c r="D30" s="13"/>
      <c r="E30" s="13"/>
      <c r="F30" s="13"/>
    </row>
    <row r="31" customFormat="false" ht="15" hidden="false" customHeight="true" outlineLevel="0" collapsed="false">
      <c r="A31" s="22" t="s">
        <v>1433</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1434</v>
      </c>
      <c r="B33" s="15" t="n">
        <v>120000</v>
      </c>
      <c r="C33" s="16" t="s">
        <v>140</v>
      </c>
      <c r="D33" s="17"/>
      <c r="E33" s="17"/>
      <c r="F33" s="16" t="s">
        <v>1364</v>
      </c>
    </row>
    <row r="34" customFormat="false" ht="15" hidden="false" customHeight="true" outlineLevel="0" collapsed="false">
      <c r="A34" s="14" t="s">
        <v>1435</v>
      </c>
      <c r="B34" s="15" t="n">
        <v>9</v>
      </c>
      <c r="C34" s="16" t="s">
        <v>126</v>
      </c>
      <c r="D34" s="17"/>
      <c r="E34" s="17"/>
      <c r="F34" s="16" t="s">
        <v>1364</v>
      </c>
    </row>
    <row r="35" customFormat="false" ht="15" hidden="false" customHeight="true" outlineLevel="0" collapsed="false">
      <c r="A35" s="14" t="s">
        <v>1436</v>
      </c>
      <c r="B35" s="15" t="n">
        <v>15</v>
      </c>
      <c r="C35" s="16" t="s">
        <v>126</v>
      </c>
      <c r="D35" s="17"/>
      <c r="E35" s="17"/>
      <c r="F35" s="16" t="s">
        <v>1364</v>
      </c>
    </row>
    <row r="36" customFormat="false" ht="15" hidden="false" customHeight="true" outlineLevel="0" collapsed="false">
      <c r="A36" s="14" t="s">
        <v>1437</v>
      </c>
      <c r="B36" s="19" t="n">
        <f aca="false">$B$35-$B$34</f>
        <v>6</v>
      </c>
      <c r="C36" s="16" t="s">
        <v>126</v>
      </c>
      <c r="D36" s="20" t="n">
        <v>6</v>
      </c>
      <c r="E36" s="21" t="str">
        <f aca="false">IF(ABS(B36-D36)&lt;=0.5,"OK","DIVERSO")</f>
        <v>OK</v>
      </c>
      <c r="F36" s="16" t="s">
        <v>1364</v>
      </c>
    </row>
    <row r="37" customFormat="false" ht="15" hidden="false" customHeight="true" outlineLevel="0" collapsed="false">
      <c r="A37" s="14" t="s">
        <v>1438</v>
      </c>
      <c r="B37" s="19" t="n">
        <f aca="false">$B$33/$B$36</f>
        <v>20000</v>
      </c>
      <c r="C37" s="16" t="s">
        <v>123</v>
      </c>
      <c r="D37" s="20" t="n">
        <v>20000</v>
      </c>
      <c r="E37" s="21" t="str">
        <f aca="false">IF(ABS(B37-D37)&lt;=0.5,"OK","DIVERSO")</f>
        <v>OK</v>
      </c>
      <c r="F37" s="16" t="s">
        <v>1364</v>
      </c>
    </row>
    <row r="38" customFormat="false" ht="15" hidden="false" customHeight="true" outlineLevel="0" collapsed="false">
      <c r="A38" s="14" t="s">
        <v>1439</v>
      </c>
      <c r="B38" s="15" t="n">
        <v>25000</v>
      </c>
      <c r="C38" s="16" t="s">
        <v>123</v>
      </c>
      <c r="D38" s="17"/>
      <c r="E38" s="17"/>
      <c r="F38" s="16" t="s">
        <v>1364</v>
      </c>
    </row>
    <row r="39" customFormat="false" ht="15" hidden="false" customHeight="true" outlineLevel="0" collapsed="false">
      <c r="A39" s="14" t="s">
        <v>1440</v>
      </c>
      <c r="B39" s="19" t="n">
        <f aca="false">$B$38*$B$36-$B$33</f>
        <v>30000</v>
      </c>
      <c r="C39" s="16" t="s">
        <v>140</v>
      </c>
      <c r="D39" s="20" t="n">
        <v>30000</v>
      </c>
      <c r="E39" s="21" t="str">
        <f aca="false">IF(ABS(B39-D39)&lt;=0.5,"OK","DIVERSO")</f>
        <v>OK</v>
      </c>
      <c r="F39" s="16" t="s">
        <v>1364</v>
      </c>
    </row>
    <row r="40" customFormat="false" ht="15" hidden="false" customHeight="true" outlineLevel="0" collapsed="false"/>
    <row r="41" customFormat="false" ht="15" hidden="false" customHeight="true" outlineLevel="0" collapsed="false">
      <c r="A41" s="13" t="s">
        <v>1441</v>
      </c>
      <c r="B41" s="13"/>
      <c r="C41" s="13"/>
      <c r="D41" s="13"/>
      <c r="E41" s="13"/>
      <c r="F41" s="13"/>
    </row>
    <row r="42" customFormat="false" ht="15" hidden="false" customHeight="true" outlineLevel="0" collapsed="false">
      <c r="A42" s="22" t="s">
        <v>1442</v>
      </c>
      <c r="B42" s="22"/>
      <c r="C42" s="22"/>
      <c r="D42" s="22"/>
      <c r="E42" s="22"/>
      <c r="F42" s="22"/>
    </row>
    <row r="43" customFormat="false" ht="15" hidden="false" customHeight="true" outlineLevel="0" collapsed="false">
      <c r="A43" s="6" t="s">
        <v>116</v>
      </c>
      <c r="B43" s="6" t="s">
        <v>117</v>
      </c>
      <c r="C43" s="6" t="s">
        <v>118</v>
      </c>
      <c r="D43" s="6" t="s">
        <v>119</v>
      </c>
      <c r="E43" s="6" t="s">
        <v>120</v>
      </c>
      <c r="F43" s="6" t="s">
        <v>121</v>
      </c>
    </row>
    <row r="44" customFormat="false" ht="15" hidden="false" customHeight="true" outlineLevel="0" collapsed="false">
      <c r="A44" s="14" t="s">
        <v>1443</v>
      </c>
      <c r="B44" s="15" t="n">
        <v>36000</v>
      </c>
      <c r="C44" s="16" t="s">
        <v>140</v>
      </c>
      <c r="D44" s="17"/>
      <c r="E44" s="17"/>
      <c r="F44" s="16" t="s">
        <v>1364</v>
      </c>
    </row>
    <row r="45" customFormat="false" ht="15" hidden="false" customHeight="true" outlineLevel="0" collapsed="false">
      <c r="A45" s="14" t="s">
        <v>1444</v>
      </c>
      <c r="B45" s="15" t="n">
        <v>14</v>
      </c>
      <c r="C45" s="16" t="s">
        <v>146</v>
      </c>
      <c r="D45" s="17"/>
      <c r="E45" s="17"/>
      <c r="F45" s="16" t="s">
        <v>1364</v>
      </c>
    </row>
    <row r="46" customFormat="false" ht="15" hidden="false" customHeight="true" outlineLevel="0" collapsed="false">
      <c r="A46" s="14" t="s">
        <v>1445</v>
      </c>
      <c r="B46" s="19" t="n">
        <f aca="false">Impresa_guida!$B$37-Impresa_guida!$B$26</f>
        <v>3000</v>
      </c>
      <c r="C46" s="16" t="s">
        <v>144</v>
      </c>
      <c r="D46" s="20" t="n">
        <v>3000</v>
      </c>
      <c r="E46" s="21" t="str">
        <f aca="false">IF(ABS(B46-D46)&lt;=0.5,"OK","DIVERSO")</f>
        <v>OK</v>
      </c>
      <c r="F46" s="16" t="s">
        <v>1364</v>
      </c>
    </row>
    <row r="47" customFormat="false" ht="15" hidden="false" customHeight="true" outlineLevel="0" collapsed="false">
      <c r="A47" s="14" t="s">
        <v>1446</v>
      </c>
      <c r="B47" s="19" t="n">
        <f aca="false">$B$44+$B$45*$B$46</f>
        <v>78000</v>
      </c>
      <c r="C47" s="16" t="s">
        <v>140</v>
      </c>
      <c r="D47" s="20" t="n">
        <v>78000</v>
      </c>
      <c r="E47" s="21" t="str">
        <f aca="false">IF(ABS(B47-D47)&lt;=0.5,"OK","DIVERSO")</f>
        <v>OK</v>
      </c>
      <c r="F47" s="16" t="s">
        <v>1364</v>
      </c>
    </row>
    <row r="48" customFormat="false" ht="15" hidden="false" customHeight="true" outlineLevel="0" collapsed="false">
      <c r="A48" s="14" t="s">
        <v>1447</v>
      </c>
      <c r="B48" s="19" t="n">
        <f aca="false">$B$46*Impresa_guida!$B$27</f>
        <v>84000</v>
      </c>
      <c r="C48" s="16" t="s">
        <v>140</v>
      </c>
      <c r="D48" s="20" t="n">
        <v>84000</v>
      </c>
      <c r="E48" s="21" t="str">
        <f aca="false">IF(ABS(B48-D48)&lt;=0.5,"OK","DIVERSO")</f>
        <v>OK</v>
      </c>
      <c r="F48" s="16" t="s">
        <v>1364</v>
      </c>
    </row>
    <row r="49" customFormat="false" ht="15" hidden="false" customHeight="true" outlineLevel="0" collapsed="false">
      <c r="A49" s="14" t="s">
        <v>1448</v>
      </c>
      <c r="B49" s="19" t="n">
        <f aca="false">$B$47/$B$46</f>
        <v>26</v>
      </c>
      <c r="C49" s="16" t="s">
        <v>146</v>
      </c>
      <c r="D49" s="20" t="n">
        <v>26</v>
      </c>
      <c r="E49" s="21" t="str">
        <f aca="false">IF(ABS(B49-D49)&lt;=0.5,"OK","DIVERSO")</f>
        <v>OK</v>
      </c>
      <c r="F49" s="16" t="s">
        <v>1364</v>
      </c>
    </row>
    <row r="50" customFormat="false" ht="15" hidden="false" customHeight="true" outlineLevel="0" collapsed="false">
      <c r="A50" s="14" t="s">
        <v>1449</v>
      </c>
      <c r="B50" s="19" t="n">
        <f aca="false">$B$48/$B$46</f>
        <v>28</v>
      </c>
      <c r="C50" s="16" t="s">
        <v>146</v>
      </c>
      <c r="D50" s="20" t="n">
        <v>28</v>
      </c>
      <c r="E50" s="21" t="str">
        <f aca="false">IF(ABS(B50-D50)&lt;=0.5,"OK","DIVERSO")</f>
        <v>OK</v>
      </c>
      <c r="F50" s="16" t="s">
        <v>1364</v>
      </c>
    </row>
    <row r="51" customFormat="false" ht="15" hidden="false" customHeight="true" outlineLevel="0" collapsed="false">
      <c r="A51" s="14" t="s">
        <v>1450</v>
      </c>
      <c r="B51" s="19" t="n">
        <f aca="false">Impresa_guida!$B$36</f>
        <v>1062000</v>
      </c>
      <c r="C51" s="16" t="s">
        <v>140</v>
      </c>
      <c r="D51" s="20" t="n">
        <v>1062000</v>
      </c>
      <c r="E51" s="21" t="str">
        <f aca="false">IF(ABS(B51-D51)&lt;=0.5,"OK","DIVERSO")</f>
        <v>OK</v>
      </c>
      <c r="F51" s="16" t="s">
        <v>1364</v>
      </c>
    </row>
    <row r="52" customFormat="false" ht="15" hidden="false" customHeight="true" outlineLevel="0" collapsed="false">
      <c r="A52" s="14" t="s">
        <v>1451</v>
      </c>
      <c r="B52" s="19" t="n">
        <f aca="false">$B$51-Impresa_guida!$B$40-$B$47</f>
        <v>248000</v>
      </c>
      <c r="C52" s="16" t="s">
        <v>140</v>
      </c>
      <c r="D52" s="20" t="n">
        <v>248000</v>
      </c>
      <c r="E52" s="21" t="str">
        <f aca="false">IF(ABS(B52-D52)&lt;=0.5,"OK","DIVERSO")</f>
        <v>OK</v>
      </c>
      <c r="F52" s="16" t="s">
        <v>1364</v>
      </c>
    </row>
    <row r="53" customFormat="false" ht="15" hidden="false" customHeight="true" outlineLevel="0" collapsed="false">
      <c r="A53" s="14" t="s">
        <v>1452</v>
      </c>
      <c r="B53" s="19" t="n">
        <f aca="false">$B$51-Impresa_guida!$B$40-$B$48</f>
        <v>242000</v>
      </c>
      <c r="C53" s="16" t="s">
        <v>140</v>
      </c>
      <c r="D53" s="20" t="n">
        <v>242000</v>
      </c>
      <c r="E53" s="21" t="str">
        <f aca="false">IF(ABS(B53-D53)&lt;=0.5,"OK","DIVERSO")</f>
        <v>OK</v>
      </c>
      <c r="F53" s="16" t="s">
        <v>1364</v>
      </c>
    </row>
    <row r="54" customFormat="false" ht="15" hidden="false" customHeight="true" outlineLevel="0" collapsed="false">
      <c r="A54" s="14" t="s">
        <v>1453</v>
      </c>
      <c r="B54" s="19" t="n">
        <f aca="false">Cap_15!$B$117</f>
        <v>275000</v>
      </c>
      <c r="C54" s="16" t="s">
        <v>140</v>
      </c>
      <c r="D54" s="20" t="n">
        <v>275000</v>
      </c>
      <c r="E54" s="21" t="str">
        <f aca="false">IF(ABS(B54-D54)&lt;=0.5,"OK","DIVERSO")</f>
        <v>OK</v>
      </c>
      <c r="F54" s="16" t="s">
        <v>1364</v>
      </c>
    </row>
    <row r="55" customFormat="false" ht="15" hidden="false" customHeight="true" outlineLevel="0" collapsed="false">
      <c r="A55" s="14" t="s">
        <v>1454</v>
      </c>
      <c r="B55" s="19" t="n">
        <f aca="false">$B$48-$B$47</f>
        <v>6000</v>
      </c>
      <c r="C55" s="16" t="s">
        <v>140</v>
      </c>
      <c r="D55" s="20" t="n">
        <v>6000</v>
      </c>
      <c r="E55" s="21" t="str">
        <f aca="false">IF(ABS(B55-D55)&lt;=0.5,"OK","DIVERSO")</f>
        <v>OK</v>
      </c>
      <c r="F55" s="16" t="s">
        <v>1364</v>
      </c>
    </row>
    <row r="56" customFormat="false" ht="15" hidden="false" customHeight="true" outlineLevel="0" collapsed="false"/>
    <row r="57" customFormat="false" ht="15" hidden="false" customHeight="true" outlineLevel="0" collapsed="false">
      <c r="A57" s="13" t="s">
        <v>1455</v>
      </c>
      <c r="B57" s="13"/>
      <c r="C57" s="13"/>
      <c r="D57" s="13"/>
      <c r="E57" s="13"/>
      <c r="F57" s="13"/>
    </row>
    <row r="58" customFormat="false" ht="15" hidden="false" customHeight="true" outlineLevel="0" collapsed="false">
      <c r="A58" s="22" t="s">
        <v>1456</v>
      </c>
      <c r="B58" s="22"/>
      <c r="C58" s="22"/>
      <c r="D58" s="22"/>
      <c r="E58" s="22"/>
      <c r="F58" s="22"/>
    </row>
    <row r="59" customFormat="false" ht="15" hidden="false" customHeight="true" outlineLevel="0" collapsed="false">
      <c r="A59" s="6" t="s">
        <v>116</v>
      </c>
      <c r="B59" s="6" t="s">
        <v>117</v>
      </c>
      <c r="C59" s="6" t="s">
        <v>118</v>
      </c>
      <c r="D59" s="6" t="s">
        <v>119</v>
      </c>
      <c r="E59" s="6" t="s">
        <v>120</v>
      </c>
      <c r="F59" s="6" t="s">
        <v>121</v>
      </c>
    </row>
    <row r="60" customFormat="false" ht="15" hidden="false" customHeight="true" outlineLevel="0" collapsed="false">
      <c r="A60" s="14" t="s">
        <v>1457</v>
      </c>
      <c r="B60" s="19" t="n">
        <f aca="false">Cap_15!$B$81*$B$46</f>
        <v>15000</v>
      </c>
      <c r="C60" s="16" t="s">
        <v>140</v>
      </c>
      <c r="D60" s="20" t="n">
        <v>15000</v>
      </c>
      <c r="E60" s="21" t="str">
        <f aca="false">IF(ABS(B60-D60)&lt;=0.5,"OK","DIVERSO")</f>
        <v>OK</v>
      </c>
      <c r="F60" s="16" t="s">
        <v>1364</v>
      </c>
    </row>
    <row r="61" customFormat="false" ht="15" hidden="false" customHeight="true" outlineLevel="0" collapsed="false">
      <c r="A61" s="14" t="s">
        <v>1458</v>
      </c>
      <c r="B61" s="19" t="n">
        <f aca="false">$B$47+$B$60</f>
        <v>93000</v>
      </c>
      <c r="C61" s="16" t="s">
        <v>140</v>
      </c>
      <c r="D61" s="20" t="n">
        <v>93000</v>
      </c>
      <c r="E61" s="21" t="str">
        <f aca="false">IF(ABS(B61-D61)&lt;=0.5,"OK","DIVERSO")</f>
        <v>OK</v>
      </c>
      <c r="F61" s="16" t="s">
        <v>1364</v>
      </c>
    </row>
    <row r="62" customFormat="false" ht="15" hidden="false" customHeight="true" outlineLevel="0" collapsed="false">
      <c r="A62" s="14" t="s">
        <v>1459</v>
      </c>
      <c r="B62" s="19" t="n">
        <f aca="false">$B$61-$B$48</f>
        <v>9000</v>
      </c>
      <c r="C62" s="16" t="s">
        <v>140</v>
      </c>
      <c r="D62" s="20" t="n">
        <v>9000</v>
      </c>
      <c r="E62" s="21" t="str">
        <f aca="false">IF(ABS(B62-D62)&lt;=0.5,"OK","DIVERSO")</f>
        <v>OK</v>
      </c>
      <c r="F62" s="16" t="s">
        <v>1364</v>
      </c>
    </row>
    <row r="63" customFormat="false" ht="15" hidden="false" customHeight="true" outlineLevel="0" collapsed="false"/>
    <row r="64" customFormat="false" ht="15" hidden="false" customHeight="true" outlineLevel="0" collapsed="false">
      <c r="A64" s="13" t="s">
        <v>1460</v>
      </c>
      <c r="B64" s="13"/>
      <c r="C64" s="13"/>
      <c r="D64" s="13"/>
      <c r="E64" s="13"/>
      <c r="F64" s="13"/>
    </row>
    <row r="65" customFormat="false" ht="15" hidden="false" customHeight="true" outlineLevel="0" collapsed="false">
      <c r="A65" s="22" t="s">
        <v>1461</v>
      </c>
      <c r="B65" s="22"/>
      <c r="C65" s="22"/>
      <c r="D65" s="22"/>
      <c r="E65" s="22"/>
      <c r="F65" s="22"/>
    </row>
    <row r="66" customFormat="false" ht="15" hidden="false" customHeight="true" outlineLevel="0" collapsed="false">
      <c r="A66" s="6" t="s">
        <v>116</v>
      </c>
      <c r="B66" s="6" t="s">
        <v>117</v>
      </c>
      <c r="C66" s="6" t="s">
        <v>118</v>
      </c>
      <c r="D66" s="6" t="s">
        <v>119</v>
      </c>
      <c r="E66" s="6" t="s">
        <v>120</v>
      </c>
      <c r="F66" s="6" t="s">
        <v>121</v>
      </c>
    </row>
    <row r="67" customFormat="false" ht="15" hidden="false" customHeight="true" outlineLevel="0" collapsed="false">
      <c r="A67" s="14" t="s">
        <v>1462</v>
      </c>
      <c r="B67" s="19" t="n">
        <f aca="false">$B$44/(Impresa_guida!$B$27-$B$45)</f>
        <v>2571.42857142857</v>
      </c>
      <c r="C67" s="16" t="s">
        <v>144</v>
      </c>
      <c r="D67" s="20" t="n">
        <v>2571</v>
      </c>
      <c r="E67" s="21" t="str">
        <f aca="false">IF(ABS(B67-D67)&lt;=0.5,"OK","DIVERSO")</f>
        <v>OK</v>
      </c>
      <c r="F67" s="16" t="s">
        <v>1364</v>
      </c>
    </row>
    <row r="68" customFormat="false" ht="15" hidden="false" customHeight="true" outlineLevel="0" collapsed="false">
      <c r="A68" s="14" t="s">
        <v>1463</v>
      </c>
      <c r="B68" s="19" t="n">
        <f aca="false">Cap_15!$B$96*(Impresa_guida!$B$16-Cap_15!$B$100)</f>
        <v>51000</v>
      </c>
      <c r="C68" s="16" t="s">
        <v>140</v>
      </c>
      <c r="D68" s="20" t="n">
        <v>51000</v>
      </c>
      <c r="E68" s="21" t="str">
        <f aca="false">IF(ABS(B68-D68)&lt;=0.5,"OK","DIVERSO")</f>
        <v>OK</v>
      </c>
      <c r="F68" s="16" t="s">
        <v>1364</v>
      </c>
    </row>
    <row r="69" customFormat="false" ht="15" hidden="false" customHeight="true" outlineLevel="0" collapsed="false">
      <c r="A69" s="14" t="s">
        <v>1464</v>
      </c>
      <c r="B69" s="19" t="n">
        <f aca="false">$B$47-$B$68</f>
        <v>27000</v>
      </c>
      <c r="C69" s="16" t="s">
        <v>140</v>
      </c>
      <c r="D69" s="20" t="n">
        <v>27000</v>
      </c>
      <c r="E69" s="21" t="str">
        <f aca="false">IF(ABS(B69-D69)&lt;=0.5,"OK","DIVERSO")</f>
        <v>OK</v>
      </c>
      <c r="F69" s="16" t="s">
        <v>1364</v>
      </c>
    </row>
    <row r="70" customFormat="false" ht="15" hidden="false" customHeight="true" outlineLevel="0" collapsed="false">
      <c r="A70" s="14" t="s">
        <v>1465</v>
      </c>
      <c r="B70" s="19" t="n">
        <f aca="false">$B$48-$B$68</f>
        <v>33000</v>
      </c>
      <c r="C70" s="16" t="s">
        <v>140</v>
      </c>
      <c r="D70" s="20" t="n">
        <v>33000</v>
      </c>
      <c r="E70" s="21" t="str">
        <f aca="false">IF(ABS(B70-D70)&lt;=0.5,"OK","DIVERSO")</f>
        <v>OK</v>
      </c>
      <c r="F70" s="16" t="s">
        <v>1364</v>
      </c>
    </row>
    <row r="71" customFormat="false" ht="15" hidden="false" customHeight="true" outlineLevel="0" collapsed="false">
      <c r="A71" s="14" t="s">
        <v>1466</v>
      </c>
      <c r="B71" s="19" t="n">
        <f aca="false">$B$44/(Cap_15!$B$128-$B$45)</f>
        <v>12000</v>
      </c>
      <c r="C71" s="16" t="s">
        <v>144</v>
      </c>
      <c r="D71" s="20" t="n">
        <v>12000</v>
      </c>
      <c r="E71" s="21" t="str">
        <f aca="false">IF(ABS(B71-D71)&lt;=0.5,"OK","DIVERSO")</f>
        <v>OK</v>
      </c>
      <c r="F71" s="16" t="s">
        <v>1364</v>
      </c>
    </row>
    <row r="72" customFormat="false" ht="15" hidden="false" customHeight="true" outlineLevel="0" collapsed="false">
      <c r="A72" s="14" t="s">
        <v>1467</v>
      </c>
      <c r="B72" s="19" t="n">
        <f aca="false">$B$71/$B$46</f>
        <v>4</v>
      </c>
      <c r="C72" s="16" t="s">
        <v>518</v>
      </c>
      <c r="D72" s="20" t="n">
        <v>4</v>
      </c>
      <c r="E72" s="21" t="str">
        <f aca="false">IF(ABS(B72-D72)&lt;=0.5,"OK","DIVERSO")</f>
        <v>OK</v>
      </c>
      <c r="F72" s="16" t="s">
        <v>1364</v>
      </c>
    </row>
    <row r="73" customFormat="false" ht="15" hidden="false" customHeight="true" outlineLevel="0" collapsed="false">
      <c r="A73" s="14" t="s">
        <v>1406</v>
      </c>
      <c r="B73" s="28" t="str">
        <f aca="false">IF($B$54&gt;MAX($B$52,$B$53),"Rinunciare a 1.000 unità di C",IF($B$52&gt;$B$53,"Make","Buy"))</f>
        <v>Rinunciare a 1.000 unità di C</v>
      </c>
      <c r="C73" s="16"/>
      <c r="D73" s="29" t="s">
        <v>1468</v>
      </c>
      <c r="E73" s="21" t="str">
        <f aca="false">IF(B73=D73,"OK","DIVERSO")</f>
        <v>OK</v>
      </c>
      <c r="F73" s="16" t="s">
        <v>1364</v>
      </c>
    </row>
  </sheetData>
  <mergeCells count="12">
    <mergeCell ref="A1:F1"/>
    <mergeCell ref="A4:F4"/>
    <mergeCell ref="A6:F6"/>
    <mergeCell ref="A7:F7"/>
    <mergeCell ref="A30:F30"/>
    <mergeCell ref="A31:F31"/>
    <mergeCell ref="A41:F41"/>
    <mergeCell ref="A42:F42"/>
    <mergeCell ref="A57:F57"/>
    <mergeCell ref="A58:F58"/>
    <mergeCell ref="A64:F64"/>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67</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1469</v>
      </c>
      <c r="B4" s="5"/>
      <c r="C4" s="5"/>
      <c r="D4" s="5"/>
      <c r="E4" s="5"/>
      <c r="F4" s="5"/>
    </row>
    <row r="5" customFormat="false" ht="15" hidden="false" customHeight="true" outlineLevel="0" collapsed="false"/>
    <row r="6" customFormat="false" ht="15" hidden="false" customHeight="true" outlineLevel="0" collapsed="false">
      <c r="A6" s="13" t="s">
        <v>1470</v>
      </c>
      <c r="B6" s="13"/>
      <c r="C6" s="13"/>
      <c r="D6" s="13"/>
      <c r="E6" s="13"/>
      <c r="F6" s="13"/>
    </row>
    <row r="7" customFormat="false" ht="15" hidden="false" customHeight="true" outlineLevel="0" collapsed="false">
      <c r="A7" s="22" t="s">
        <v>1471</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1472</v>
      </c>
      <c r="B9" s="15" t="n">
        <v>80</v>
      </c>
      <c r="C9" s="16" t="s">
        <v>126</v>
      </c>
      <c r="D9" s="17"/>
      <c r="E9" s="17"/>
      <c r="F9" s="16" t="s">
        <v>1473</v>
      </c>
    </row>
    <row r="10" customFormat="false" ht="15" hidden="false" customHeight="true" outlineLevel="0" collapsed="false">
      <c r="A10" s="14" t="s">
        <v>1474</v>
      </c>
      <c r="B10" s="25" t="n">
        <v>0.25</v>
      </c>
      <c r="C10" s="16" t="s">
        <v>319</v>
      </c>
      <c r="D10" s="17"/>
      <c r="E10" s="17"/>
      <c r="F10" s="16" t="s">
        <v>1473</v>
      </c>
    </row>
    <row r="11" customFormat="false" ht="15" hidden="false" customHeight="true" outlineLevel="0" collapsed="false">
      <c r="A11" s="14" t="s">
        <v>1475</v>
      </c>
      <c r="B11" s="19" t="n">
        <f aca="false">$B$9*(1+$B$10)</f>
        <v>100</v>
      </c>
      <c r="C11" s="16" t="s">
        <v>126</v>
      </c>
      <c r="D11" s="20" t="n">
        <v>100</v>
      </c>
      <c r="E11" s="21" t="str">
        <f aca="false">IF(ABS(B11-D11)&lt;=0.5,"OK","DIVERSO")</f>
        <v>OK</v>
      </c>
      <c r="F11" s="16" t="s">
        <v>1473</v>
      </c>
    </row>
    <row r="12" customFormat="false" ht="15" hidden="false" customHeight="true" outlineLevel="0" collapsed="false">
      <c r="A12" s="14" t="s">
        <v>1476</v>
      </c>
      <c r="B12" s="26" t="n">
        <f aca="false">($B$11-$B$9)/$B$11</f>
        <v>0.2</v>
      </c>
      <c r="C12" s="16" t="s">
        <v>319</v>
      </c>
      <c r="D12" s="27" t="n">
        <v>0.2</v>
      </c>
      <c r="E12" s="21" t="str">
        <f aca="false">IF(ABS(B12-D12)&lt;=0.0005,"OK","DIVERSO")</f>
        <v>OK</v>
      </c>
      <c r="F12" s="16" t="s">
        <v>1473</v>
      </c>
    </row>
    <row r="13" customFormat="false" ht="15" hidden="false" customHeight="true" outlineLevel="0" collapsed="false">
      <c r="A13" s="14" t="s">
        <v>1477</v>
      </c>
      <c r="B13" s="15" t="n">
        <v>100</v>
      </c>
      <c r="C13" s="16" t="s">
        <v>126</v>
      </c>
      <c r="D13" s="17"/>
      <c r="E13" s="17"/>
      <c r="F13" s="16" t="s">
        <v>1473</v>
      </c>
    </row>
    <row r="14" customFormat="false" ht="15" hidden="false" customHeight="true" outlineLevel="0" collapsed="false">
      <c r="A14" s="14" t="s">
        <v>1478</v>
      </c>
      <c r="B14" s="25" t="n">
        <v>0.2</v>
      </c>
      <c r="C14" s="16" t="s">
        <v>319</v>
      </c>
      <c r="D14" s="17"/>
      <c r="E14" s="17"/>
      <c r="F14" s="16" t="s">
        <v>1473</v>
      </c>
    </row>
    <row r="15" customFormat="false" ht="15" hidden="false" customHeight="true" outlineLevel="0" collapsed="false">
      <c r="A15" s="14" t="s">
        <v>1479</v>
      </c>
      <c r="B15" s="19" t="n">
        <f aca="false">$B$13*(1-$B$14)</f>
        <v>80</v>
      </c>
      <c r="C15" s="16" t="s">
        <v>126</v>
      </c>
      <c r="D15" s="20" t="n">
        <v>80</v>
      </c>
      <c r="E15" s="21" t="str">
        <f aca="false">IF(ABS(B15-D15)&lt;=0.5,"OK","DIVERSO")</f>
        <v>OK</v>
      </c>
      <c r="F15" s="16" t="s">
        <v>1473</v>
      </c>
    </row>
    <row r="16" customFormat="false" ht="15" hidden="false" customHeight="true" outlineLevel="0" collapsed="false"/>
    <row r="17" customFormat="false" ht="15" hidden="false" customHeight="true" outlineLevel="0" collapsed="false">
      <c r="A17" s="13" t="s">
        <v>1480</v>
      </c>
      <c r="B17" s="13"/>
      <c r="C17" s="13"/>
      <c r="D17" s="13"/>
      <c r="E17" s="13"/>
      <c r="F17" s="13"/>
    </row>
    <row r="18" customFormat="false" ht="15" hidden="false" customHeight="true" outlineLevel="0" collapsed="false">
      <c r="A18" s="22" t="s">
        <v>1481</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1482</v>
      </c>
      <c r="B20" s="15" t="n">
        <v>120</v>
      </c>
      <c r="C20" s="16" t="s">
        <v>126</v>
      </c>
      <c r="D20" s="17"/>
      <c r="E20" s="17"/>
      <c r="F20" s="16" t="s">
        <v>1473</v>
      </c>
    </row>
    <row r="21" customFormat="false" ht="15" hidden="false" customHeight="true" outlineLevel="0" collapsed="false">
      <c r="A21" s="14" t="s">
        <v>1483</v>
      </c>
      <c r="B21" s="15" t="n">
        <v>12</v>
      </c>
      <c r="C21" s="16" t="s">
        <v>126</v>
      </c>
      <c r="D21" s="17"/>
      <c r="E21" s="17"/>
      <c r="F21" s="16" t="s">
        <v>1473</v>
      </c>
    </row>
    <row r="22" customFormat="false" ht="15" hidden="false" customHeight="true" outlineLevel="0" collapsed="false">
      <c r="A22" s="14" t="s">
        <v>1484</v>
      </c>
      <c r="B22" s="15" t="n">
        <v>4</v>
      </c>
      <c r="C22" s="16" t="s">
        <v>126</v>
      </c>
      <c r="D22" s="17"/>
      <c r="E22" s="17"/>
      <c r="F22" s="16" t="s">
        <v>1473</v>
      </c>
    </row>
    <row r="23" customFormat="false" ht="15" hidden="false" customHeight="true" outlineLevel="0" collapsed="false">
      <c r="A23" s="14" t="s">
        <v>1485</v>
      </c>
      <c r="B23" s="15" t="n">
        <v>1</v>
      </c>
      <c r="C23" s="16" t="s">
        <v>126</v>
      </c>
      <c r="D23" s="17"/>
      <c r="E23" s="17"/>
      <c r="F23" s="16" t="s">
        <v>1473</v>
      </c>
    </row>
    <row r="24" customFormat="false" ht="15" hidden="false" customHeight="true" outlineLevel="0" collapsed="false">
      <c r="A24" s="14" t="s">
        <v>1486</v>
      </c>
      <c r="B24" s="19" t="n">
        <f aca="false">$B$20-$B$21-$B$22-$B$23</f>
        <v>103</v>
      </c>
      <c r="C24" s="16" t="s">
        <v>126</v>
      </c>
      <c r="D24" s="20" t="n">
        <v>103</v>
      </c>
      <c r="E24" s="21" t="str">
        <f aca="false">IF(ABS(B24-D24)&lt;=0.5,"OK","DIVERSO")</f>
        <v>OK</v>
      </c>
      <c r="F24" s="16" t="s">
        <v>1473</v>
      </c>
    </row>
    <row r="25" customFormat="false" ht="15" hidden="false" customHeight="true" outlineLevel="0" collapsed="false">
      <c r="A25" s="14" t="s">
        <v>1487</v>
      </c>
      <c r="B25" s="15" t="n">
        <v>3</v>
      </c>
      <c r="C25" s="16" t="s">
        <v>126</v>
      </c>
      <c r="D25" s="17"/>
      <c r="E25" s="17"/>
      <c r="F25" s="16" t="s">
        <v>1473</v>
      </c>
    </row>
    <row r="26" customFormat="false" ht="15" hidden="false" customHeight="true" outlineLevel="0" collapsed="false">
      <c r="A26" s="14" t="s">
        <v>1488</v>
      </c>
      <c r="B26" s="19" t="n">
        <f aca="false">$B$24-$B$25</f>
        <v>100</v>
      </c>
      <c r="C26" s="16" t="s">
        <v>126</v>
      </c>
      <c r="D26" s="20" t="n">
        <v>100</v>
      </c>
      <c r="E26" s="21" t="str">
        <f aca="false">IF(ABS(B26-D26)&lt;=0.5,"OK","DIVERSO")</f>
        <v>OK</v>
      </c>
      <c r="F26" s="16" t="s">
        <v>1473</v>
      </c>
    </row>
    <row r="27" customFormat="false" ht="15" hidden="false" customHeight="true" outlineLevel="0" collapsed="false"/>
    <row r="28" customFormat="false" ht="15" hidden="false" customHeight="true" outlineLevel="0" collapsed="false">
      <c r="A28" s="13" t="s">
        <v>1489</v>
      </c>
      <c r="B28" s="13"/>
      <c r="C28" s="13"/>
      <c r="D28" s="13"/>
      <c r="E28" s="13"/>
      <c r="F28" s="13"/>
    </row>
    <row r="29" customFormat="false" ht="15" hidden="false" customHeight="true" outlineLevel="0" collapsed="false">
      <c r="A29" s="22" t="s">
        <v>1490</v>
      </c>
      <c r="B29" s="22"/>
      <c r="C29" s="22"/>
      <c r="D29" s="22"/>
      <c r="E29" s="22"/>
      <c r="F29" s="22"/>
    </row>
    <row r="30" customFormat="false" ht="15" hidden="false" customHeight="true" outlineLevel="0" collapsed="false">
      <c r="A30" s="6" t="s">
        <v>116</v>
      </c>
      <c r="B30" s="6" t="s">
        <v>117</v>
      </c>
      <c r="C30" s="6" t="s">
        <v>118</v>
      </c>
      <c r="D30" s="6" t="s">
        <v>119</v>
      </c>
      <c r="E30" s="6" t="s">
        <v>120</v>
      </c>
      <c r="F30" s="6" t="s">
        <v>121</v>
      </c>
    </row>
    <row r="31" customFormat="false" ht="15" hidden="false" customHeight="true" outlineLevel="0" collapsed="false">
      <c r="A31" s="14" t="s">
        <v>1068</v>
      </c>
      <c r="B31" s="15" t="n">
        <v>100</v>
      </c>
      <c r="C31" s="16" t="s">
        <v>126</v>
      </c>
      <c r="D31" s="17"/>
      <c r="E31" s="17"/>
      <c r="F31" s="16" t="s">
        <v>1473</v>
      </c>
    </row>
    <row r="32" customFormat="false" ht="15" hidden="false" customHeight="true" outlineLevel="0" collapsed="false">
      <c r="A32" s="14" t="s">
        <v>268</v>
      </c>
      <c r="B32" s="15" t="n">
        <v>70</v>
      </c>
      <c r="C32" s="16" t="s">
        <v>126</v>
      </c>
      <c r="D32" s="17"/>
      <c r="E32" s="17"/>
      <c r="F32" s="16" t="s">
        <v>1473</v>
      </c>
    </row>
    <row r="33" customFormat="false" ht="15" hidden="false" customHeight="true" outlineLevel="0" collapsed="false">
      <c r="A33" s="14" t="s">
        <v>1491</v>
      </c>
      <c r="B33" s="15" t="n">
        <v>5</v>
      </c>
      <c r="C33" s="16" t="s">
        <v>126</v>
      </c>
      <c r="D33" s="17"/>
      <c r="E33" s="17"/>
      <c r="F33" s="16" t="s">
        <v>1473</v>
      </c>
    </row>
    <row r="34" customFormat="false" ht="15" hidden="false" customHeight="true" outlineLevel="0" collapsed="false">
      <c r="A34" s="14" t="s">
        <v>1492</v>
      </c>
      <c r="B34" s="15" t="n">
        <v>1000</v>
      </c>
      <c r="C34" s="16" t="s">
        <v>123</v>
      </c>
      <c r="D34" s="17"/>
      <c r="E34" s="17"/>
      <c r="F34" s="16" t="s">
        <v>1473</v>
      </c>
    </row>
    <row r="35" customFormat="false" ht="15" hidden="false" customHeight="true" outlineLevel="0" collapsed="false">
      <c r="A35" s="14" t="s">
        <v>1493</v>
      </c>
      <c r="B35" s="19" t="n">
        <f aca="false">$B$31-$B$32</f>
        <v>30</v>
      </c>
      <c r="C35" s="16" t="s">
        <v>126</v>
      </c>
      <c r="D35" s="20" t="n">
        <v>30</v>
      </c>
      <c r="E35" s="21" t="str">
        <f aca="false">IF(ABS(B35-D35)&lt;=0.5,"OK","DIVERSO")</f>
        <v>OK</v>
      </c>
      <c r="F35" s="16" t="s">
        <v>1473</v>
      </c>
    </row>
    <row r="36" customFormat="false" ht="15" hidden="false" customHeight="true" outlineLevel="0" collapsed="false">
      <c r="A36" s="14" t="s">
        <v>1494</v>
      </c>
      <c r="B36" s="19" t="n">
        <f aca="false">$B$31-$B$33</f>
        <v>95</v>
      </c>
      <c r="C36" s="16" t="s">
        <v>126</v>
      </c>
      <c r="D36" s="20" t="n">
        <v>95</v>
      </c>
      <c r="E36" s="21" t="str">
        <f aca="false">IF(ABS(B36-D36)&lt;=0.5,"OK","DIVERSO")</f>
        <v>OK</v>
      </c>
      <c r="F36" s="16" t="s">
        <v>1473</v>
      </c>
    </row>
    <row r="37" customFormat="false" ht="15" hidden="false" customHeight="true" outlineLevel="0" collapsed="false">
      <c r="A37" s="14" t="s">
        <v>1495</v>
      </c>
      <c r="B37" s="26" t="n">
        <f aca="false">$B$33/$B$31</f>
        <v>0.05</v>
      </c>
      <c r="C37" s="16" t="s">
        <v>319</v>
      </c>
      <c r="D37" s="27" t="n">
        <v>0.05</v>
      </c>
      <c r="E37" s="21" t="str">
        <f aca="false">IF(ABS(B37-D37)&lt;=0.0005,"OK","DIVERSO")</f>
        <v>OK</v>
      </c>
      <c r="F37" s="16" t="s">
        <v>1473</v>
      </c>
    </row>
    <row r="38" customFormat="false" ht="15" hidden="false" customHeight="true" outlineLevel="0" collapsed="false">
      <c r="A38" s="14" t="s">
        <v>1496</v>
      </c>
      <c r="B38" s="19" t="n">
        <f aca="false">$B$36-$B$32</f>
        <v>25</v>
      </c>
      <c r="C38" s="16" t="s">
        <v>126</v>
      </c>
      <c r="D38" s="20" t="n">
        <v>25</v>
      </c>
      <c r="E38" s="21" t="str">
        <f aca="false">IF(ABS(B38-D38)&lt;=0.5,"OK","DIVERSO")</f>
        <v>OK</v>
      </c>
      <c r="F38" s="16" t="s">
        <v>1473</v>
      </c>
    </row>
    <row r="39" customFormat="false" ht="15" hidden="false" customHeight="true" outlineLevel="0" collapsed="false">
      <c r="A39" s="14" t="s">
        <v>1497</v>
      </c>
      <c r="B39" s="26" t="n">
        <f aca="false">1-$B$38/$B$35</f>
        <v>0.166666666666667</v>
      </c>
      <c r="C39" s="16" t="s">
        <v>319</v>
      </c>
      <c r="D39" s="27" t="n">
        <v>0.167</v>
      </c>
      <c r="E39" s="21" t="str">
        <f aca="false">IF(ABS(B39-D39)&lt;=0.0005,"OK","DIVERSO")</f>
        <v>OK</v>
      </c>
      <c r="F39" s="16" t="s">
        <v>1473</v>
      </c>
    </row>
    <row r="40" customFormat="false" ht="15" hidden="false" customHeight="true" outlineLevel="0" collapsed="false">
      <c r="A40" s="14" t="s">
        <v>1498</v>
      </c>
      <c r="B40" s="19" t="n">
        <f aca="false">$B$35*$B$34</f>
        <v>30000</v>
      </c>
      <c r="C40" s="16" t="s">
        <v>140</v>
      </c>
      <c r="D40" s="20" t="n">
        <v>30000</v>
      </c>
      <c r="E40" s="21" t="str">
        <f aca="false">IF(ABS(B40-D40)&lt;=0.5,"OK","DIVERSO")</f>
        <v>OK</v>
      </c>
      <c r="F40" s="16" t="s">
        <v>1473</v>
      </c>
    </row>
    <row r="41" customFormat="false" ht="15" hidden="false" customHeight="true" outlineLevel="0" collapsed="false">
      <c r="A41" s="14" t="s">
        <v>1499</v>
      </c>
      <c r="B41" s="19" t="n">
        <f aca="false">$B$40/$B$38</f>
        <v>1200</v>
      </c>
      <c r="C41" s="16" t="s">
        <v>123</v>
      </c>
      <c r="D41" s="20" t="n">
        <v>1200</v>
      </c>
      <c r="E41" s="21" t="str">
        <f aca="false">IF(ABS(B41-D41)&lt;=0.5,"OK","DIVERSO")</f>
        <v>OK</v>
      </c>
      <c r="F41" s="16" t="s">
        <v>1473</v>
      </c>
    </row>
    <row r="42" customFormat="false" ht="15" hidden="false" customHeight="true" outlineLevel="0" collapsed="false">
      <c r="A42" s="14" t="s">
        <v>1500</v>
      </c>
      <c r="B42" s="19" t="n">
        <f aca="false">$B$38*$B$41</f>
        <v>30000</v>
      </c>
      <c r="C42" s="16" t="s">
        <v>140</v>
      </c>
      <c r="D42" s="20" t="n">
        <v>30000</v>
      </c>
      <c r="E42" s="21" t="str">
        <f aca="false">IF(ABS(B42-D42)&lt;=0.5,"OK","DIVERSO")</f>
        <v>OK</v>
      </c>
      <c r="F42" s="16" t="s">
        <v>1473</v>
      </c>
    </row>
    <row r="43" customFormat="false" ht="15" hidden="false" customHeight="true" outlineLevel="0" collapsed="false">
      <c r="A43" s="14" t="s">
        <v>1501</v>
      </c>
      <c r="B43" s="26" t="n">
        <f aca="false">$B$41/$B$34-1</f>
        <v>0.2</v>
      </c>
      <c r="C43" s="16" t="s">
        <v>319</v>
      </c>
      <c r="D43" s="27" t="n">
        <v>0.2</v>
      </c>
      <c r="E43" s="21" t="str">
        <f aca="false">IF(ABS(B43-D43)&lt;=0.0005,"OK","DIVERSO")</f>
        <v>OK</v>
      </c>
      <c r="F43" s="16" t="s">
        <v>1473</v>
      </c>
    </row>
    <row r="44" customFormat="false" ht="15" hidden="false" customHeight="true" outlineLevel="0" collapsed="false"/>
    <row r="45" customFormat="false" ht="15" hidden="false" customHeight="true" outlineLevel="0" collapsed="false">
      <c r="A45" s="13" t="s">
        <v>1502</v>
      </c>
      <c r="B45" s="13"/>
      <c r="C45" s="13"/>
      <c r="D45" s="13"/>
      <c r="E45" s="13"/>
      <c r="F45" s="13"/>
    </row>
    <row r="46" customFormat="false" ht="15" hidden="false" customHeight="true" outlineLevel="0" collapsed="false">
      <c r="A46" s="22" t="s">
        <v>1503</v>
      </c>
      <c r="B46" s="22"/>
      <c r="C46" s="22"/>
      <c r="D46" s="22"/>
      <c r="E46" s="22"/>
      <c r="F46" s="22"/>
    </row>
    <row r="47" customFormat="false" ht="15" hidden="false" customHeight="true" outlineLevel="0" collapsed="false">
      <c r="A47" s="6" t="s">
        <v>116</v>
      </c>
      <c r="B47" s="6" t="s">
        <v>117</v>
      </c>
      <c r="C47" s="6" t="s">
        <v>118</v>
      </c>
      <c r="D47" s="6" t="s">
        <v>119</v>
      </c>
      <c r="E47" s="6" t="s">
        <v>120</v>
      </c>
      <c r="F47" s="6" t="s">
        <v>121</v>
      </c>
    </row>
    <row r="48" customFormat="false" ht="15" hidden="false" customHeight="true" outlineLevel="0" collapsed="false">
      <c r="A48" s="14" t="s">
        <v>1504</v>
      </c>
      <c r="B48" s="19" t="n">
        <f aca="false">Cap_08!$B$98</f>
        <v>120</v>
      </c>
      <c r="C48" s="16" t="s">
        <v>126</v>
      </c>
      <c r="D48" s="17"/>
      <c r="E48" s="17"/>
      <c r="F48" s="16" t="s">
        <v>1473</v>
      </c>
    </row>
    <row r="49" customFormat="false" ht="15" hidden="false" customHeight="true" outlineLevel="0" collapsed="false">
      <c r="A49" s="14" t="s">
        <v>1483</v>
      </c>
      <c r="B49" s="15" t="n">
        <v>4</v>
      </c>
      <c r="C49" s="16" t="s">
        <v>126</v>
      </c>
      <c r="D49" s="17"/>
      <c r="E49" s="17"/>
      <c r="F49" s="16" t="s">
        <v>1473</v>
      </c>
    </row>
    <row r="50" customFormat="false" ht="15" hidden="false" customHeight="true" outlineLevel="0" collapsed="false">
      <c r="A50" s="14" t="s">
        <v>1505</v>
      </c>
      <c r="B50" s="18" t="n">
        <v>1.2</v>
      </c>
      <c r="C50" s="16" t="s">
        <v>126</v>
      </c>
      <c r="D50" s="17"/>
      <c r="E50" s="17"/>
      <c r="F50" s="16" t="s">
        <v>1473</v>
      </c>
    </row>
    <row r="51" customFormat="false" ht="15" hidden="false" customHeight="true" outlineLevel="0" collapsed="false">
      <c r="A51" s="14" t="s">
        <v>1506</v>
      </c>
      <c r="B51" s="18" t="n">
        <v>0.8</v>
      </c>
      <c r="C51" s="16" t="s">
        <v>126</v>
      </c>
      <c r="D51" s="17"/>
      <c r="E51" s="17"/>
      <c r="F51" s="16" t="s">
        <v>1473</v>
      </c>
    </row>
    <row r="52" customFormat="false" ht="15" hidden="false" customHeight="true" outlineLevel="0" collapsed="false">
      <c r="A52" s="14" t="s">
        <v>1507</v>
      </c>
      <c r="B52" s="19" t="n">
        <f aca="false">$B$48-$B$49-$B$50-$B$51</f>
        <v>114</v>
      </c>
      <c r="C52" s="16" t="s">
        <v>126</v>
      </c>
      <c r="D52" s="20" t="n">
        <v>114</v>
      </c>
      <c r="E52" s="21" t="str">
        <f aca="false">IF(ABS(B52-D52)&lt;=0.5,"OK","DIVERSO")</f>
        <v>OK</v>
      </c>
      <c r="F52" s="16" t="s">
        <v>1473</v>
      </c>
    </row>
    <row r="53" customFormat="false" ht="15" hidden="false" customHeight="true" outlineLevel="0" collapsed="false">
      <c r="A53" s="14" t="s">
        <v>1508</v>
      </c>
      <c r="B53" s="19" t="n">
        <f aca="false">$B$52-Impresa_guida!$B$13</f>
        <v>0</v>
      </c>
      <c r="C53" s="16" t="s">
        <v>126</v>
      </c>
      <c r="D53" s="17"/>
      <c r="E53" s="17"/>
      <c r="F53" s="16" t="s">
        <v>1473</v>
      </c>
    </row>
    <row r="54" customFormat="false" ht="15" hidden="false" customHeight="true" outlineLevel="0" collapsed="false">
      <c r="A54" s="14" t="s">
        <v>1476</v>
      </c>
      <c r="B54" s="26" t="n">
        <f aca="false">Cap_15!$B$94/Impresa_guida!$B$13</f>
        <v>0.333333333333333</v>
      </c>
      <c r="C54" s="16" t="s">
        <v>319</v>
      </c>
      <c r="D54" s="27" t="n">
        <v>0.333</v>
      </c>
      <c r="E54" s="21" t="str">
        <f aca="false">IF(ABS(B54-D54)&lt;=0.0005,"OK","DIVERSO")</f>
        <v>OK</v>
      </c>
      <c r="F54" s="16" t="s">
        <v>1473</v>
      </c>
    </row>
    <row r="55" customFormat="false" ht="15" hidden="false" customHeight="true" outlineLevel="0" collapsed="false">
      <c r="A55" s="14" t="s">
        <v>1509</v>
      </c>
      <c r="B55" s="26" t="n">
        <f aca="false">Cap_15!$B$94/Impresa_guida!$B$14</f>
        <v>0.5</v>
      </c>
      <c r="C55" s="16" t="s">
        <v>319</v>
      </c>
      <c r="D55" s="27" t="n">
        <v>0.5</v>
      </c>
      <c r="E55" s="21" t="str">
        <f aca="false">IF(ABS(B55-D55)&lt;=0.0005,"OK","DIVERSO")</f>
        <v>OK</v>
      </c>
      <c r="F55" s="16" t="s">
        <v>1473</v>
      </c>
    </row>
    <row r="56" customFormat="false" ht="15" hidden="false" customHeight="true" outlineLevel="0" collapsed="false"/>
    <row r="57" customFormat="false" ht="15" hidden="false" customHeight="true" outlineLevel="0" collapsed="false">
      <c r="A57" s="13" t="s">
        <v>1510</v>
      </c>
      <c r="B57" s="13"/>
      <c r="C57" s="13"/>
      <c r="D57" s="13"/>
      <c r="E57" s="13"/>
      <c r="F57" s="13"/>
    </row>
    <row r="58" customFormat="false" ht="15" hidden="false" customHeight="true" outlineLevel="0" collapsed="false">
      <c r="A58" s="22" t="s">
        <v>1511</v>
      </c>
      <c r="B58" s="22"/>
      <c r="C58" s="22"/>
      <c r="D58" s="22"/>
      <c r="E58" s="22"/>
      <c r="F58" s="22"/>
    </row>
    <row r="59" customFormat="false" ht="15" hidden="false" customHeight="true" outlineLevel="0" collapsed="false">
      <c r="A59" s="6" t="s">
        <v>116</v>
      </c>
      <c r="B59" s="6" t="s">
        <v>117</v>
      </c>
      <c r="C59" s="6" t="s">
        <v>118</v>
      </c>
      <c r="D59" s="6" t="s">
        <v>119</v>
      </c>
      <c r="E59" s="6" t="s">
        <v>120</v>
      </c>
      <c r="F59" s="6" t="s">
        <v>121</v>
      </c>
    </row>
    <row r="60" customFormat="false" ht="15" hidden="false" customHeight="true" outlineLevel="0" collapsed="false">
      <c r="A60" s="14" t="s">
        <v>1168</v>
      </c>
      <c r="B60" s="19" t="n">
        <f aca="false">Cap_12!$B$20</f>
        <v>118</v>
      </c>
      <c r="C60" s="16" t="s">
        <v>126</v>
      </c>
      <c r="D60" s="17"/>
      <c r="E60" s="17"/>
      <c r="F60" s="16" t="s">
        <v>1473</v>
      </c>
    </row>
    <row r="61" customFormat="false" ht="15" hidden="false" customHeight="true" outlineLevel="0" collapsed="false">
      <c r="A61" s="14" t="s">
        <v>1512</v>
      </c>
      <c r="B61" s="19" t="n">
        <f aca="false">Cap_12!$B$19*$B$62</f>
        <v>478800</v>
      </c>
      <c r="C61" s="16" t="s">
        <v>140</v>
      </c>
      <c r="D61" s="17"/>
      <c r="E61" s="17"/>
      <c r="F61" s="16" t="s">
        <v>1473</v>
      </c>
    </row>
    <row r="62" customFormat="false" ht="15" hidden="false" customHeight="true" outlineLevel="0" collapsed="false">
      <c r="A62" s="14" t="s">
        <v>1180</v>
      </c>
      <c r="B62" s="19" t="n">
        <f aca="false">$B$60-Impresa_guida!$B$14</f>
        <v>42</v>
      </c>
      <c r="C62" s="16" t="s">
        <v>126</v>
      </c>
      <c r="D62" s="20" t="n">
        <v>42</v>
      </c>
      <c r="E62" s="21" t="str">
        <f aca="false">IF(ABS(B62-D62)&lt;=0.5,"OK","DIVERSO")</f>
        <v>OK</v>
      </c>
      <c r="F62" s="16" t="s">
        <v>1473</v>
      </c>
    </row>
    <row r="63" customFormat="false" ht="15" hidden="false" customHeight="true" outlineLevel="0" collapsed="false">
      <c r="A63" s="14" t="s">
        <v>1513</v>
      </c>
      <c r="B63" s="26" t="n">
        <f aca="false">Impresa_guida!$B$13/$B$60-1</f>
        <v>-0.0338983050847458</v>
      </c>
      <c r="C63" s="16" t="s">
        <v>319</v>
      </c>
      <c r="D63" s="27" t="n">
        <v>-0.034</v>
      </c>
      <c r="E63" s="21" t="str">
        <f aca="false">IF(ABS(B63-D63)&lt;=0.0005,"OK","DIVERSO")</f>
        <v>OK</v>
      </c>
      <c r="F63" s="16" t="s">
        <v>1473</v>
      </c>
    </row>
    <row r="64" customFormat="false" ht="15" hidden="false" customHeight="true" outlineLevel="0" collapsed="false">
      <c r="A64" s="14" t="s">
        <v>1514</v>
      </c>
      <c r="B64" s="26" t="n">
        <f aca="false">Cap_15!$B$94/$B$62-1</f>
        <v>-0.0952380952380952</v>
      </c>
      <c r="C64" s="16" t="s">
        <v>319</v>
      </c>
      <c r="D64" s="27" t="n">
        <v>-0.095</v>
      </c>
      <c r="E64" s="21" t="str">
        <f aca="false">IF(ABS(B64-D64)&lt;=0.0005,"OK","DIVERSO")</f>
        <v>OK</v>
      </c>
      <c r="F64" s="16" t="s">
        <v>1473</v>
      </c>
    </row>
    <row r="65" customFormat="false" ht="15" hidden="false" customHeight="true" outlineLevel="0" collapsed="false">
      <c r="A65" s="14" t="s">
        <v>1515</v>
      </c>
      <c r="B65" s="19" t="n">
        <f aca="false">$B$61/Cap_15!$B$94</f>
        <v>12600</v>
      </c>
      <c r="C65" s="16" t="s">
        <v>123</v>
      </c>
      <c r="D65" s="20" t="n">
        <v>12600</v>
      </c>
      <c r="E65" s="21" t="str">
        <f aca="false">IF(ABS(B65-D65)&lt;=0.5,"OK","DIVERSO")</f>
        <v>OK</v>
      </c>
      <c r="F65" s="16" t="s">
        <v>1473</v>
      </c>
    </row>
    <row r="66" customFormat="false" ht="15" hidden="false" customHeight="true" outlineLevel="0" collapsed="false">
      <c r="A66" s="14" t="s">
        <v>1516</v>
      </c>
      <c r="B66" s="19" t="n">
        <f aca="false">$B$61-Cap_15!$B$94*Impresa_guida!$B$12</f>
        <v>22800</v>
      </c>
      <c r="C66" s="16" t="s">
        <v>140</v>
      </c>
      <c r="D66" s="20" t="n">
        <v>22800</v>
      </c>
      <c r="E66" s="21" t="str">
        <f aca="false">IF(ABS(B66-D66)&lt;=0.5,"OK","DIVERSO")</f>
        <v>OK</v>
      </c>
      <c r="F66" s="16" t="s">
        <v>1473</v>
      </c>
    </row>
    <row r="67" customFormat="false" ht="15" hidden="false" customHeight="true" outlineLevel="0" collapsed="false">
      <c r="A67" s="14" t="s">
        <v>1517</v>
      </c>
      <c r="B67" s="19" t="n">
        <f aca="false">Cap_11!$B$19</f>
        <v>23</v>
      </c>
      <c r="C67" s="16" t="s">
        <v>907</v>
      </c>
      <c r="D67" s="17"/>
      <c r="E67" s="17"/>
      <c r="F67" s="16" t="s">
        <v>1473</v>
      </c>
    </row>
    <row r="68" customFormat="false" ht="15" hidden="false" customHeight="true" outlineLevel="0" collapsed="false">
      <c r="A68" s="14" t="s">
        <v>1518</v>
      </c>
      <c r="B68" s="19" t="n">
        <f aca="false">Cap_10!$B$150</f>
        <v>30</v>
      </c>
      <c r="C68" s="16" t="s">
        <v>907</v>
      </c>
      <c r="D68" s="17"/>
      <c r="E68" s="17"/>
      <c r="F68" s="16" t="s">
        <v>1473</v>
      </c>
    </row>
    <row r="69" customFormat="false" ht="15" hidden="false" customHeight="true" outlineLevel="0" collapsed="false">
      <c r="A69" s="14" t="s">
        <v>1519</v>
      </c>
      <c r="B69" s="19" t="n">
        <f aca="false">$B$68-$B$67</f>
        <v>7</v>
      </c>
      <c r="C69" s="16" t="s">
        <v>907</v>
      </c>
      <c r="D69" s="20" t="n">
        <v>7</v>
      </c>
      <c r="E69" s="21" t="str">
        <f aca="false">IF(ABS(B69-D69)&lt;=0.5,"OK","DIVERSO")</f>
        <v>OK</v>
      </c>
      <c r="F69" s="16" t="s">
        <v>1473</v>
      </c>
    </row>
    <row r="70" customFormat="false" ht="15" hidden="false" customHeight="true" outlineLevel="0" collapsed="false"/>
    <row r="71" customFormat="false" ht="15" hidden="false" customHeight="true" outlineLevel="0" collapsed="false">
      <c r="A71" s="13" t="s">
        <v>1520</v>
      </c>
      <c r="B71" s="13"/>
      <c r="C71" s="13"/>
      <c r="D71" s="13"/>
      <c r="E71" s="13"/>
      <c r="F71" s="13"/>
    </row>
    <row r="72" customFormat="false" ht="15" hidden="false" customHeight="true" outlineLevel="0" collapsed="false">
      <c r="A72" s="22" t="s">
        <v>1521</v>
      </c>
      <c r="B72" s="22"/>
      <c r="C72" s="22"/>
      <c r="D72" s="22"/>
      <c r="E72" s="22"/>
      <c r="F72" s="22"/>
    </row>
    <row r="73" customFormat="false" ht="15" hidden="false" customHeight="true" outlineLevel="0" collapsed="false">
      <c r="A73" s="6" t="s">
        <v>116</v>
      </c>
      <c r="B73" s="6" t="s">
        <v>117</v>
      </c>
      <c r="C73" s="6" t="s">
        <v>118</v>
      </c>
      <c r="D73" s="6" t="s">
        <v>119</v>
      </c>
      <c r="E73" s="6" t="s">
        <v>120</v>
      </c>
      <c r="F73" s="6" t="s">
        <v>121</v>
      </c>
    </row>
    <row r="74" customFormat="false" ht="15" hidden="false" customHeight="true" outlineLevel="0" collapsed="false">
      <c r="A74" s="14" t="s">
        <v>1522</v>
      </c>
      <c r="B74" s="19" t="n">
        <f aca="false">Impresa_guida!$B$10</f>
        <v>117</v>
      </c>
      <c r="C74" s="16" t="s">
        <v>126</v>
      </c>
      <c r="D74" s="20" t="n">
        <v>117</v>
      </c>
      <c r="E74" s="21" t="str">
        <f aca="false">IF(ABS(B74-D74)&lt;=0.5,"OK","DIVERSO")</f>
        <v>OK</v>
      </c>
      <c r="F74" s="16" t="s">
        <v>1473</v>
      </c>
    </row>
    <row r="75" customFormat="false" ht="15" hidden="false" customHeight="true" outlineLevel="0" collapsed="false">
      <c r="A75" s="14" t="s">
        <v>1523</v>
      </c>
      <c r="B75" s="23" t="n">
        <f aca="false">Impresa_guida!$B$10+Impresa_guida!$B$11*Cap_15!$B$97</f>
        <v>142.5</v>
      </c>
      <c r="C75" s="16" t="s">
        <v>126</v>
      </c>
      <c r="D75" s="24" t="n">
        <v>142.5</v>
      </c>
      <c r="E75" s="21" t="str">
        <f aca="false">IF(ABS(B75-D75)&lt;=0.005,"OK","DIVERSO")</f>
        <v>OK</v>
      </c>
      <c r="F75" s="16" t="s">
        <v>1473</v>
      </c>
    </row>
    <row r="76" customFormat="false" ht="15" hidden="false" customHeight="true" outlineLevel="0" collapsed="false">
      <c r="A76" s="14" t="s">
        <v>1524</v>
      </c>
      <c r="B76" s="23" t="n">
        <f aca="false">Impresa_guida!$B$10+Impresa_guida!$B$11*Impresa_guida!$B$27</f>
        <v>159</v>
      </c>
      <c r="C76" s="16" t="s">
        <v>126</v>
      </c>
      <c r="D76" s="24" t="n">
        <v>159</v>
      </c>
      <c r="E76" s="21" t="str">
        <f aca="false">IF(ABS(B76-D76)&lt;=0.005,"OK","DIVERSO")</f>
        <v>OK</v>
      </c>
      <c r="F76" s="16" t="s">
        <v>1473</v>
      </c>
    </row>
    <row r="77" customFormat="false" ht="15" hidden="false" customHeight="true" outlineLevel="0" collapsed="false">
      <c r="A77" s="14" t="s">
        <v>1525</v>
      </c>
      <c r="B77" s="19" t="n">
        <f aca="false">Impresa_guida!$B$14</f>
        <v>76</v>
      </c>
      <c r="C77" s="16" t="s">
        <v>126</v>
      </c>
      <c r="D77" s="20" t="n">
        <v>76</v>
      </c>
      <c r="E77" s="21" t="str">
        <f aca="false">IF(ABS(B77-D77)&lt;=0.5,"OK","DIVERSO")</f>
        <v>OK</v>
      </c>
      <c r="F77" s="16" t="s">
        <v>1473</v>
      </c>
    </row>
    <row r="78" customFormat="false" ht="15" hidden="false" customHeight="true" outlineLevel="0" collapsed="false">
      <c r="A78" s="14" t="s">
        <v>1526</v>
      </c>
      <c r="B78" s="23" t="n">
        <f aca="false">Impresa_guida!$B$14+Impresa_guida!$B$15*Cap_15!$B$97</f>
        <v>84.5</v>
      </c>
      <c r="C78" s="16" t="s">
        <v>126</v>
      </c>
      <c r="D78" s="24" t="n">
        <v>84.5</v>
      </c>
      <c r="E78" s="21" t="str">
        <f aca="false">IF(ABS(B78-D78)&lt;=0.005,"OK","DIVERSO")</f>
        <v>OK</v>
      </c>
      <c r="F78" s="16" t="s">
        <v>1473</v>
      </c>
    </row>
    <row r="79" customFormat="false" ht="15" hidden="false" customHeight="true" outlineLevel="0" collapsed="false">
      <c r="A79" s="14" t="s">
        <v>1527</v>
      </c>
      <c r="B79" s="23" t="n">
        <f aca="false">Impresa_guida!$B$14+Impresa_guida!$B$15*Impresa_guida!$B$27</f>
        <v>90</v>
      </c>
      <c r="C79" s="16" t="s">
        <v>126</v>
      </c>
      <c r="D79" s="24" t="n">
        <v>90</v>
      </c>
      <c r="E79" s="21" t="str">
        <f aca="false">IF(ABS(B79-D79)&lt;=0.005,"OK","DIVERSO")</f>
        <v>OK</v>
      </c>
      <c r="F79" s="16" t="s">
        <v>1473</v>
      </c>
    </row>
    <row r="80" customFormat="false" ht="15" hidden="false" customHeight="true" outlineLevel="0" collapsed="false">
      <c r="A80" s="14" t="s">
        <v>1528</v>
      </c>
      <c r="B80" s="19" t="n">
        <f aca="false">Impresa_guida!$B$18</f>
        <v>238</v>
      </c>
      <c r="C80" s="16" t="s">
        <v>126</v>
      </c>
      <c r="D80" s="20" t="n">
        <v>238</v>
      </c>
      <c r="E80" s="21" t="str">
        <f aca="false">IF(ABS(B80-D80)&lt;=0.5,"OK","DIVERSO")</f>
        <v>OK</v>
      </c>
      <c r="F80" s="16" t="s">
        <v>1473</v>
      </c>
    </row>
    <row r="81" customFormat="false" ht="15" hidden="false" customHeight="true" outlineLevel="0" collapsed="false">
      <c r="A81" s="14" t="s">
        <v>1529</v>
      </c>
      <c r="B81" s="23" t="n">
        <f aca="false">Impresa_guida!$B$18+Impresa_guida!$B$19*Cap_15!$B$97</f>
        <v>289</v>
      </c>
      <c r="C81" s="16" t="s">
        <v>126</v>
      </c>
      <c r="D81" s="24" t="n">
        <v>289</v>
      </c>
      <c r="E81" s="21" t="str">
        <f aca="false">IF(ABS(B81-D81)&lt;=0.005,"OK","DIVERSO")</f>
        <v>OK</v>
      </c>
      <c r="F81" s="16" t="s">
        <v>1473</v>
      </c>
    </row>
    <row r="82" customFormat="false" ht="15" hidden="false" customHeight="true" outlineLevel="0" collapsed="false">
      <c r="A82" s="14" t="s">
        <v>1530</v>
      </c>
      <c r="B82" s="23" t="n">
        <f aca="false">Impresa_guida!$B$18+Impresa_guida!$B$19*Impresa_guida!$B$27</f>
        <v>322</v>
      </c>
      <c r="C82" s="16" t="s">
        <v>126</v>
      </c>
      <c r="D82" s="24" t="n">
        <v>322</v>
      </c>
      <c r="E82" s="21" t="str">
        <f aca="false">IF(ABS(B82-D82)&lt;=0.005,"OK","DIVERSO")</f>
        <v>OK</v>
      </c>
      <c r="F82" s="16" t="s">
        <v>1473</v>
      </c>
    </row>
    <row r="83" customFormat="false" ht="15" hidden="false" customHeight="true" outlineLevel="0" collapsed="false">
      <c r="A83" s="14" t="s">
        <v>1531</v>
      </c>
      <c r="B83" s="26" t="n">
        <f aca="false">$B$82/Impresa_guida!$B$17-1</f>
        <v>0.114186851211073</v>
      </c>
      <c r="C83" s="16" t="s">
        <v>319</v>
      </c>
      <c r="D83" s="27" t="n">
        <v>0.114</v>
      </c>
      <c r="E83" s="21" t="str">
        <f aca="false">IF(ABS(B83-D83)&lt;=0.0005,"OK","DIVERSO")</f>
        <v>OK</v>
      </c>
      <c r="F83" s="16" t="s">
        <v>1473</v>
      </c>
    </row>
    <row r="84" customFormat="false" ht="15" hidden="false" customHeight="true" outlineLevel="0" collapsed="false">
      <c r="A84" s="14" t="s">
        <v>1532</v>
      </c>
      <c r="B84" s="19" t="n">
        <f aca="false">Cap_08!$B$99</f>
        <v>305</v>
      </c>
      <c r="C84" s="16" t="s">
        <v>126</v>
      </c>
      <c r="D84" s="17"/>
      <c r="E84" s="17"/>
      <c r="F84" s="16" t="s">
        <v>1473</v>
      </c>
    </row>
    <row r="85" customFormat="false" ht="15" hidden="false" customHeight="true" outlineLevel="0" collapsed="false">
      <c r="A85" s="14" t="s">
        <v>1533</v>
      </c>
      <c r="B85" s="28" t="str">
        <f aca="false">IF($B$82&gt;$B$84,"Sopra il listino","Entro il listino")</f>
        <v>Sopra il listino</v>
      </c>
      <c r="C85" s="16"/>
      <c r="D85" s="29" t="s">
        <v>1534</v>
      </c>
      <c r="E85" s="21" t="str">
        <f aca="false">IF(B85=D85,"OK","DIVERSO")</f>
        <v>OK</v>
      </c>
      <c r="F85" s="16" t="s">
        <v>1473</v>
      </c>
    </row>
  </sheetData>
  <mergeCells count="14">
    <mergeCell ref="A1:F1"/>
    <mergeCell ref="A4:F4"/>
    <mergeCell ref="A6:F6"/>
    <mergeCell ref="A7:F7"/>
    <mergeCell ref="A17:F17"/>
    <mergeCell ref="A18:F18"/>
    <mergeCell ref="A28:F28"/>
    <mergeCell ref="A29:F29"/>
    <mergeCell ref="A45:F45"/>
    <mergeCell ref="A46:F46"/>
    <mergeCell ref="A57:F57"/>
    <mergeCell ref="A58:F58"/>
    <mergeCell ref="A71:F71"/>
    <mergeCell ref="A72:F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70</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1535</v>
      </c>
      <c r="B4" s="5"/>
      <c r="C4" s="5"/>
      <c r="D4" s="5"/>
      <c r="E4" s="5"/>
      <c r="F4" s="5"/>
    </row>
    <row r="5" customFormat="false" ht="15" hidden="false" customHeight="true" outlineLevel="0" collapsed="false"/>
    <row r="6" customFormat="false" ht="15" hidden="false" customHeight="true" outlineLevel="0" collapsed="false">
      <c r="A6" s="13" t="s">
        <v>1536</v>
      </c>
      <c r="B6" s="13"/>
      <c r="C6" s="13"/>
      <c r="D6" s="13"/>
      <c r="E6" s="13"/>
      <c r="F6" s="13"/>
    </row>
    <row r="7" customFormat="false" ht="15" hidden="false" customHeight="true" outlineLevel="0" collapsed="false">
      <c r="A7" s="22" t="s">
        <v>1537</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1538</v>
      </c>
      <c r="B9" s="15" t="n">
        <v>60</v>
      </c>
      <c r="C9" s="16" t="s">
        <v>126</v>
      </c>
      <c r="D9" s="17"/>
      <c r="E9" s="17"/>
      <c r="F9" s="16" t="s">
        <v>1539</v>
      </c>
    </row>
    <row r="10" customFormat="false" ht="15" hidden="false" customHeight="true" outlineLevel="0" collapsed="false">
      <c r="A10" s="14" t="s">
        <v>1540</v>
      </c>
      <c r="B10" s="15" t="n">
        <v>3</v>
      </c>
      <c r="C10" s="16" t="s">
        <v>129</v>
      </c>
      <c r="D10" s="17"/>
      <c r="E10" s="17"/>
      <c r="F10" s="16" t="s">
        <v>1539</v>
      </c>
    </row>
    <row r="11" customFormat="false" ht="15" hidden="false" customHeight="true" outlineLevel="0" collapsed="false">
      <c r="A11" s="14" t="s">
        <v>1541</v>
      </c>
      <c r="B11" s="15" t="n">
        <v>45</v>
      </c>
      <c r="C11" s="16" t="s">
        <v>126</v>
      </c>
      <c r="D11" s="17"/>
      <c r="E11" s="17"/>
      <c r="F11" s="16" t="s">
        <v>1539</v>
      </c>
    </row>
    <row r="12" customFormat="false" ht="15" hidden="false" customHeight="true" outlineLevel="0" collapsed="false">
      <c r="A12" s="14" t="s">
        <v>1542</v>
      </c>
      <c r="B12" s="18" t="n">
        <v>1.5</v>
      </c>
      <c r="C12" s="16" t="s">
        <v>129</v>
      </c>
      <c r="D12" s="17"/>
      <c r="E12" s="17"/>
      <c r="F12" s="16" t="s">
        <v>1539</v>
      </c>
    </row>
    <row r="13" customFormat="false" ht="15" hidden="false" customHeight="true" outlineLevel="0" collapsed="false">
      <c r="A13" s="14" t="s">
        <v>1543</v>
      </c>
      <c r="B13" s="19" t="n">
        <f aca="false">$B$9/$B$10</f>
        <v>20</v>
      </c>
      <c r="C13" s="16" t="s">
        <v>146</v>
      </c>
      <c r="D13" s="20" t="n">
        <v>20</v>
      </c>
      <c r="E13" s="21" t="str">
        <f aca="false">IF(ABS(B13-D13)&lt;=0.5,"OK","DIVERSO")</f>
        <v>OK</v>
      </c>
      <c r="F13" s="16" t="s">
        <v>1539</v>
      </c>
    </row>
    <row r="14" customFormat="false" ht="15" hidden="false" customHeight="true" outlineLevel="0" collapsed="false">
      <c r="A14" s="14" t="s">
        <v>1544</v>
      </c>
      <c r="B14" s="19" t="n">
        <f aca="false">$B$11/$B$12</f>
        <v>30</v>
      </c>
      <c r="C14" s="16" t="s">
        <v>146</v>
      </c>
      <c r="D14" s="20" t="n">
        <v>30</v>
      </c>
      <c r="E14" s="21" t="str">
        <f aca="false">IF(ABS(B14-D14)&lt;=0.5,"OK","DIVERSO")</f>
        <v>OK</v>
      </c>
      <c r="F14" s="16" t="s">
        <v>1539</v>
      </c>
    </row>
    <row r="15" customFormat="false" ht="15" hidden="false" customHeight="true" outlineLevel="0" collapsed="false">
      <c r="A15" s="14" t="s">
        <v>1545</v>
      </c>
      <c r="B15" s="28" t="str">
        <f aca="false">IF($B$14&gt;$B$13,"B","A")</f>
        <v>B</v>
      </c>
      <c r="C15" s="16"/>
      <c r="D15" s="29" t="s">
        <v>1353</v>
      </c>
      <c r="E15" s="21" t="str">
        <f aca="false">IF(B15=D15,"OK","DIVERSO")</f>
        <v>OK</v>
      </c>
      <c r="F15" s="16" t="s">
        <v>1539</v>
      </c>
    </row>
    <row r="16" customFormat="false" ht="15" hidden="false" customHeight="true" outlineLevel="0" collapsed="false"/>
    <row r="17" customFormat="false" ht="15" hidden="false" customHeight="true" outlineLevel="0" collapsed="false">
      <c r="A17" s="13" t="s">
        <v>1546</v>
      </c>
      <c r="B17" s="13"/>
      <c r="C17" s="13"/>
      <c r="D17" s="13"/>
      <c r="E17" s="13"/>
      <c r="F17" s="13"/>
    </row>
    <row r="18" customFormat="false" ht="15" hidden="false" customHeight="true" outlineLevel="0" collapsed="false">
      <c r="A18" s="22" t="s">
        <v>1547</v>
      </c>
      <c r="B18" s="22"/>
      <c r="C18" s="22"/>
      <c r="D18" s="22"/>
      <c r="E18" s="22"/>
      <c r="F18" s="22"/>
    </row>
    <row r="19" customFormat="false" ht="15" hidden="false" customHeight="true" outlineLevel="0" collapsed="false">
      <c r="A19" s="6" t="s">
        <v>116</v>
      </c>
      <c r="B19" s="6" t="s">
        <v>117</v>
      </c>
      <c r="C19" s="6" t="s">
        <v>118</v>
      </c>
      <c r="D19" s="6" t="s">
        <v>119</v>
      </c>
      <c r="E19" s="6" t="s">
        <v>120</v>
      </c>
      <c r="F19" s="6" t="s">
        <v>121</v>
      </c>
    </row>
    <row r="20" customFormat="false" ht="15" hidden="false" customHeight="true" outlineLevel="0" collapsed="false">
      <c r="A20" s="14" t="s">
        <v>1548</v>
      </c>
      <c r="B20" s="15" t="n">
        <v>9000</v>
      </c>
      <c r="C20" s="16" t="s">
        <v>144</v>
      </c>
      <c r="D20" s="17"/>
      <c r="E20" s="17"/>
      <c r="F20" s="16" t="s">
        <v>1539</v>
      </c>
    </row>
    <row r="21" customFormat="false" ht="15" hidden="false" customHeight="true" outlineLevel="0" collapsed="false">
      <c r="A21" s="14" t="s">
        <v>1549</v>
      </c>
      <c r="B21" s="15" t="n">
        <v>4000</v>
      </c>
      <c r="C21" s="16" t="s">
        <v>123</v>
      </c>
      <c r="D21" s="17"/>
      <c r="E21" s="17"/>
      <c r="F21" s="16" t="s">
        <v>1539</v>
      </c>
    </row>
    <row r="22" customFormat="false" ht="15" hidden="false" customHeight="true" outlineLevel="0" collapsed="false">
      <c r="A22" s="14" t="s">
        <v>1550</v>
      </c>
      <c r="B22" s="19" t="n">
        <f aca="false">$B$21*$B$12</f>
        <v>6000</v>
      </c>
      <c r="C22" s="16" t="s">
        <v>144</v>
      </c>
      <c r="D22" s="20" t="n">
        <v>6000</v>
      </c>
      <c r="E22" s="21" t="str">
        <f aca="false">IF(ABS(B22-D22)&lt;=0.5,"OK","DIVERSO")</f>
        <v>OK</v>
      </c>
      <c r="F22" s="16" t="s">
        <v>1539</v>
      </c>
    </row>
    <row r="23" customFormat="false" ht="15" hidden="false" customHeight="true" outlineLevel="0" collapsed="false">
      <c r="A23" s="14" t="s">
        <v>1551</v>
      </c>
      <c r="B23" s="19" t="n">
        <f aca="false">$B$21*$B$11</f>
        <v>180000</v>
      </c>
      <c r="C23" s="16" t="s">
        <v>140</v>
      </c>
      <c r="D23" s="20" t="n">
        <v>180000</v>
      </c>
      <c r="E23" s="21" t="str">
        <f aca="false">IF(ABS(B23-D23)&lt;=0.5,"OK","DIVERSO")</f>
        <v>OK</v>
      </c>
      <c r="F23" s="16" t="s">
        <v>1539</v>
      </c>
    </row>
    <row r="24" customFormat="false" ht="15" hidden="false" customHeight="true" outlineLevel="0" collapsed="false">
      <c r="A24" s="14" t="s">
        <v>1552</v>
      </c>
      <c r="B24" s="19" t="n">
        <f aca="false">$B$20-$B$22</f>
        <v>3000</v>
      </c>
      <c r="C24" s="16" t="s">
        <v>144</v>
      </c>
      <c r="D24" s="20" t="n">
        <v>3000</v>
      </c>
      <c r="E24" s="21" t="str">
        <f aca="false">IF(ABS(B24-D24)&lt;=0.5,"OK","DIVERSO")</f>
        <v>OK</v>
      </c>
      <c r="F24" s="16" t="s">
        <v>1539</v>
      </c>
    </row>
    <row r="25" customFormat="false" ht="15" hidden="false" customHeight="true" outlineLevel="0" collapsed="false">
      <c r="A25" s="14" t="s">
        <v>1553</v>
      </c>
      <c r="B25" s="19" t="n">
        <f aca="false">$B$24/$B$10</f>
        <v>1000</v>
      </c>
      <c r="C25" s="16" t="s">
        <v>123</v>
      </c>
      <c r="D25" s="20" t="n">
        <v>1000</v>
      </c>
      <c r="E25" s="21" t="str">
        <f aca="false">IF(ABS(B25-D25)&lt;=0.5,"OK","DIVERSO")</f>
        <v>OK</v>
      </c>
      <c r="F25" s="16" t="s">
        <v>1539</v>
      </c>
    </row>
    <row r="26" customFormat="false" ht="15" hidden="false" customHeight="true" outlineLevel="0" collapsed="false">
      <c r="A26" s="14" t="s">
        <v>1554</v>
      </c>
      <c r="B26" s="19" t="n">
        <f aca="false">$B$25*$B$9</f>
        <v>60000</v>
      </c>
      <c r="C26" s="16" t="s">
        <v>140</v>
      </c>
      <c r="D26" s="20" t="n">
        <v>60000</v>
      </c>
      <c r="E26" s="21" t="str">
        <f aca="false">IF(ABS(B26-D26)&lt;=0.5,"OK","DIVERSO")</f>
        <v>OK</v>
      </c>
      <c r="F26" s="16" t="s">
        <v>1539</v>
      </c>
    </row>
    <row r="27" customFormat="false" ht="15" hidden="false" customHeight="true" outlineLevel="0" collapsed="false">
      <c r="A27" s="14" t="s">
        <v>1053</v>
      </c>
      <c r="B27" s="19" t="n">
        <f aca="false">$B$21+$B$25</f>
        <v>5000</v>
      </c>
      <c r="C27" s="16" t="s">
        <v>123</v>
      </c>
      <c r="D27" s="20" t="n">
        <v>5000</v>
      </c>
      <c r="E27" s="21" t="str">
        <f aca="false">IF(ABS(B27-D27)&lt;=0.5,"OK","DIVERSO")</f>
        <v>OK</v>
      </c>
      <c r="F27" s="16" t="s">
        <v>1539</v>
      </c>
    </row>
    <row r="28" customFormat="false" ht="15" hidden="false" customHeight="true" outlineLevel="0" collapsed="false">
      <c r="A28" s="14" t="s">
        <v>626</v>
      </c>
      <c r="B28" s="19" t="n">
        <f aca="false">$B$23+$B$26</f>
        <v>240000</v>
      </c>
      <c r="C28" s="16" t="s">
        <v>140</v>
      </c>
      <c r="D28" s="20" t="n">
        <v>240000</v>
      </c>
      <c r="E28" s="21" t="str">
        <f aca="false">IF(ABS(B28-D28)&lt;=0.5,"OK","DIVERSO")</f>
        <v>OK</v>
      </c>
      <c r="F28" s="16" t="s">
        <v>1539</v>
      </c>
    </row>
    <row r="29" customFormat="false" ht="15" hidden="false" customHeight="true" outlineLevel="0" collapsed="false"/>
    <row r="30" customFormat="false" ht="15" hidden="false" customHeight="true" outlineLevel="0" collapsed="false">
      <c r="A30" s="13" t="s">
        <v>1555</v>
      </c>
      <c r="B30" s="13"/>
      <c r="C30" s="13"/>
      <c r="D30" s="13"/>
      <c r="E30" s="13"/>
      <c r="F30" s="13"/>
    </row>
    <row r="31" customFormat="false" ht="15" hidden="false" customHeight="true" outlineLevel="0" collapsed="false">
      <c r="A31" s="22" t="s">
        <v>1556</v>
      </c>
      <c r="B31" s="22"/>
      <c r="C31" s="22"/>
      <c r="D31" s="22"/>
      <c r="E31" s="22"/>
      <c r="F31" s="22"/>
    </row>
    <row r="32" customFormat="false" ht="15" hidden="false" customHeight="true" outlineLevel="0" collapsed="false">
      <c r="A32" s="6" t="s">
        <v>116</v>
      </c>
      <c r="B32" s="6" t="s">
        <v>117</v>
      </c>
      <c r="C32" s="6" t="s">
        <v>118</v>
      </c>
      <c r="D32" s="6" t="s">
        <v>119</v>
      </c>
      <c r="E32" s="6" t="s">
        <v>120</v>
      </c>
      <c r="F32" s="6" t="s">
        <v>121</v>
      </c>
    </row>
    <row r="33" customFormat="false" ht="15" hidden="false" customHeight="true" outlineLevel="0" collapsed="false">
      <c r="A33" s="14" t="s">
        <v>1557</v>
      </c>
      <c r="B33" s="19" t="n">
        <f aca="false">$B$13</f>
        <v>20</v>
      </c>
      <c r="C33" s="16" t="s">
        <v>146</v>
      </c>
      <c r="D33" s="20" t="n">
        <v>20</v>
      </c>
      <c r="E33" s="21" t="str">
        <f aca="false">IF(ABS(B33-D33)&lt;=0.5,"OK","DIVERSO")</f>
        <v>OK</v>
      </c>
      <c r="F33" s="16" t="s">
        <v>1539</v>
      </c>
    </row>
    <row r="34" customFormat="false" ht="15" hidden="false" customHeight="true" outlineLevel="0" collapsed="false">
      <c r="A34" s="14" t="s">
        <v>1558</v>
      </c>
      <c r="B34" s="15" t="n">
        <v>15</v>
      </c>
      <c r="C34" s="16" t="s">
        <v>146</v>
      </c>
      <c r="D34" s="17"/>
      <c r="E34" s="17"/>
      <c r="F34" s="16" t="s">
        <v>1539</v>
      </c>
    </row>
    <row r="35" customFormat="false" ht="15" hidden="false" customHeight="true" outlineLevel="0" collapsed="false">
      <c r="A35" s="14" t="s">
        <v>1559</v>
      </c>
      <c r="B35" s="15" t="n">
        <v>22</v>
      </c>
      <c r="C35" s="16" t="s">
        <v>146</v>
      </c>
      <c r="D35" s="17"/>
      <c r="E35" s="17"/>
      <c r="F35" s="16" t="s">
        <v>1539</v>
      </c>
    </row>
    <row r="36" customFormat="false" ht="15" hidden="false" customHeight="true" outlineLevel="0" collapsed="false">
      <c r="A36" s="14" t="s">
        <v>1560</v>
      </c>
      <c r="B36" s="28" t="str">
        <f aca="false">IF($B$34&lt;$B$33,"Conveniente","Non conveniente")</f>
        <v>Conveniente</v>
      </c>
      <c r="C36" s="16"/>
      <c r="D36" s="29" t="s">
        <v>1561</v>
      </c>
      <c r="E36" s="21" t="str">
        <f aca="false">IF(B36=D36,"OK","DIVERSO")</f>
        <v>OK</v>
      </c>
      <c r="F36" s="16" t="s">
        <v>1539</v>
      </c>
    </row>
    <row r="37" customFormat="false" ht="15" hidden="false" customHeight="true" outlineLevel="0" collapsed="false">
      <c r="A37" s="14" t="s">
        <v>1562</v>
      </c>
      <c r="B37" s="28" t="str">
        <f aca="false">IF($B$35&lt;$B$33,"Conveniente","Non conveniente")</f>
        <v>Non conveniente</v>
      </c>
      <c r="C37" s="16"/>
      <c r="D37" s="29" t="s">
        <v>1563</v>
      </c>
      <c r="E37" s="21" t="str">
        <f aca="false">IF(B37=D37,"OK","DIVERSO")</f>
        <v>OK</v>
      </c>
      <c r="F37" s="16" t="s">
        <v>1539</v>
      </c>
    </row>
    <row r="38" customFormat="false" ht="15" hidden="false" customHeight="true" outlineLevel="0" collapsed="false"/>
    <row r="39" customFormat="false" ht="15" hidden="false" customHeight="true" outlineLevel="0" collapsed="false">
      <c r="A39" s="13" t="s">
        <v>1564</v>
      </c>
      <c r="B39" s="13"/>
      <c r="C39" s="13"/>
      <c r="D39" s="13"/>
      <c r="E39" s="13"/>
      <c r="F39" s="13"/>
    </row>
    <row r="40" customFormat="false" ht="15" hidden="false" customHeight="true" outlineLevel="0" collapsed="false">
      <c r="A40" s="22" t="s">
        <v>1565</v>
      </c>
      <c r="B40" s="22"/>
      <c r="C40" s="22"/>
      <c r="D40" s="22"/>
      <c r="E40" s="22"/>
      <c r="F40" s="22"/>
    </row>
    <row r="41" customFormat="false" ht="15" hidden="false" customHeight="true" outlineLevel="0" collapsed="false">
      <c r="A41" s="6" t="s">
        <v>116</v>
      </c>
      <c r="B41" s="6" t="s">
        <v>117</v>
      </c>
      <c r="C41" s="6" t="s">
        <v>118</v>
      </c>
      <c r="D41" s="6" t="s">
        <v>119</v>
      </c>
      <c r="E41" s="6" t="s">
        <v>120</v>
      </c>
      <c r="F41" s="6" t="s">
        <v>121</v>
      </c>
    </row>
    <row r="42" customFormat="false" ht="15" hidden="false" customHeight="true" outlineLevel="0" collapsed="false">
      <c r="A42" s="14" t="s">
        <v>1566</v>
      </c>
      <c r="B42" s="15" t="n">
        <v>1</v>
      </c>
      <c r="C42" s="16" t="s">
        <v>129</v>
      </c>
      <c r="D42" s="17"/>
      <c r="E42" s="17"/>
      <c r="F42" s="16" t="s">
        <v>1539</v>
      </c>
    </row>
    <row r="43" customFormat="false" ht="15" hidden="false" customHeight="true" outlineLevel="0" collapsed="false">
      <c r="A43" s="14" t="s">
        <v>1567</v>
      </c>
      <c r="B43" s="15" t="n">
        <v>2</v>
      </c>
      <c r="C43" s="16" t="s">
        <v>129</v>
      </c>
      <c r="D43" s="17"/>
      <c r="E43" s="17"/>
      <c r="F43" s="16" t="s">
        <v>1539</v>
      </c>
    </row>
    <row r="44" customFormat="false" ht="15" hidden="false" customHeight="true" outlineLevel="0" collapsed="false">
      <c r="A44" s="14" t="s">
        <v>1568</v>
      </c>
      <c r="B44" s="15" t="n">
        <v>7500</v>
      </c>
      <c r="C44" s="16" t="s">
        <v>144</v>
      </c>
      <c r="D44" s="17"/>
      <c r="E44" s="17"/>
      <c r="F44" s="16" t="s">
        <v>1539</v>
      </c>
    </row>
    <row r="45" customFormat="false" ht="15" hidden="false" customHeight="true" outlineLevel="0" collapsed="false">
      <c r="A45" s="14" t="s">
        <v>1569</v>
      </c>
      <c r="B45" s="15" t="n">
        <v>2500</v>
      </c>
      <c r="C45" s="16" t="s">
        <v>123</v>
      </c>
      <c r="D45" s="17"/>
      <c r="E45" s="17"/>
      <c r="F45" s="16" t="s">
        <v>1539</v>
      </c>
    </row>
    <row r="46" customFormat="false" ht="15" hidden="false" customHeight="true" outlineLevel="0" collapsed="false">
      <c r="A46" s="14" t="s">
        <v>1570</v>
      </c>
      <c r="B46" s="19" t="n">
        <f aca="false">$B$25*$B$42+$B$21*$B$43</f>
        <v>9000</v>
      </c>
      <c r="C46" s="16" t="s">
        <v>144</v>
      </c>
      <c r="D46" s="20" t="n">
        <v>9000</v>
      </c>
      <c r="E46" s="21" t="str">
        <f aca="false">IF(ABS(B46-D46)&lt;=0.5,"OK","DIVERSO")</f>
        <v>OK</v>
      </c>
      <c r="F46" s="16" t="s">
        <v>1539</v>
      </c>
    </row>
    <row r="47" customFormat="false" ht="15" hidden="false" customHeight="true" outlineLevel="0" collapsed="false">
      <c r="A47" s="14" t="s">
        <v>1571</v>
      </c>
      <c r="B47" s="19" t="n">
        <f aca="false">$B$9/$B$42</f>
        <v>60</v>
      </c>
      <c r="C47" s="16" t="s">
        <v>146</v>
      </c>
      <c r="D47" s="20" t="n">
        <v>60</v>
      </c>
      <c r="E47" s="21" t="str">
        <f aca="false">IF(ABS(B47-D47)&lt;=0.5,"OK","DIVERSO")</f>
        <v>OK</v>
      </c>
      <c r="F47" s="16" t="s">
        <v>1539</v>
      </c>
    </row>
    <row r="48" customFormat="false" ht="15" hidden="false" customHeight="true" outlineLevel="0" collapsed="false">
      <c r="A48" s="14" t="s">
        <v>1572</v>
      </c>
      <c r="B48" s="23" t="n">
        <f aca="false">$B$11/$B$43</f>
        <v>22.5</v>
      </c>
      <c r="C48" s="16" t="s">
        <v>146</v>
      </c>
      <c r="D48" s="24" t="n">
        <v>22.5</v>
      </c>
      <c r="E48" s="21" t="str">
        <f aca="false">IF(ABS(B48-D48)&lt;=0.005,"OK","DIVERSO")</f>
        <v>OK</v>
      </c>
      <c r="F48" s="16" t="s">
        <v>1539</v>
      </c>
    </row>
    <row r="49" customFormat="false" ht="15" hidden="false" customHeight="true" outlineLevel="0" collapsed="false">
      <c r="A49" s="14" t="s">
        <v>1573</v>
      </c>
      <c r="B49" s="19" t="n">
        <f aca="false">($B$20-$B$45*$B$10)/$B$12</f>
        <v>1000</v>
      </c>
      <c r="C49" s="16" t="s">
        <v>123</v>
      </c>
      <c r="D49" s="20" t="n">
        <v>1000</v>
      </c>
      <c r="E49" s="21" t="str">
        <f aca="false">IF(ABS(B49-D49)&lt;=0.5,"OK","DIVERSO")</f>
        <v>OK</v>
      </c>
      <c r="F49" s="16" t="s">
        <v>1539</v>
      </c>
    </row>
    <row r="50" customFormat="false" ht="15" hidden="false" customHeight="true" outlineLevel="0" collapsed="false">
      <c r="A50" s="14" t="s">
        <v>1574</v>
      </c>
      <c r="B50" s="19" t="n">
        <f aca="false">$B$45*$B$9+$B$49*$B$11</f>
        <v>195000</v>
      </c>
      <c r="C50" s="16" t="s">
        <v>140</v>
      </c>
      <c r="D50" s="20" t="n">
        <v>195000</v>
      </c>
      <c r="E50" s="21" t="str">
        <f aca="false">IF(ABS(B50-D50)&lt;=0.5,"OK","DIVERSO")</f>
        <v>OK</v>
      </c>
      <c r="F50" s="16" t="s">
        <v>1539</v>
      </c>
    </row>
    <row r="51" customFormat="false" ht="15" hidden="false" customHeight="true" outlineLevel="0" collapsed="false"/>
    <row r="52" customFormat="false" ht="15" hidden="false" customHeight="true" outlineLevel="0" collapsed="false">
      <c r="A52" s="13" t="s">
        <v>1575</v>
      </c>
      <c r="B52" s="13"/>
      <c r="C52" s="13"/>
      <c r="D52" s="13"/>
      <c r="E52" s="13"/>
      <c r="F52" s="13"/>
    </row>
    <row r="53" customFormat="false" ht="15" hidden="false" customHeight="true" outlineLevel="0" collapsed="false">
      <c r="A53" s="22" t="s">
        <v>1576</v>
      </c>
      <c r="B53" s="22"/>
      <c r="C53" s="22"/>
      <c r="D53" s="22"/>
      <c r="E53" s="22"/>
      <c r="F53" s="22"/>
    </row>
    <row r="54" customFormat="false" ht="15" hidden="false" customHeight="true" outlineLevel="0" collapsed="false">
      <c r="A54" s="6" t="s">
        <v>116</v>
      </c>
      <c r="B54" s="6" t="s">
        <v>117</v>
      </c>
      <c r="C54" s="6" t="s">
        <v>118</v>
      </c>
      <c r="D54" s="6" t="s">
        <v>119</v>
      </c>
      <c r="E54" s="6" t="s">
        <v>120</v>
      </c>
      <c r="F54" s="6" t="s">
        <v>121</v>
      </c>
    </row>
    <row r="55" customFormat="false" ht="15" hidden="false" customHeight="true" outlineLevel="0" collapsed="false">
      <c r="A55" s="14" t="s">
        <v>1577</v>
      </c>
      <c r="B55" s="19" t="n">
        <f aca="false">$B$45</f>
        <v>2500</v>
      </c>
      <c r="C55" s="16" t="s">
        <v>123</v>
      </c>
      <c r="D55" s="20" t="n">
        <v>2500</v>
      </c>
      <c r="E55" s="21" t="str">
        <f aca="false">IF(ABS(B55-D55)&lt;=0.5,"OK","DIVERSO")</f>
        <v>OK</v>
      </c>
      <c r="F55" s="16" t="s">
        <v>1539</v>
      </c>
    </row>
    <row r="56" customFormat="false" ht="15" hidden="false" customHeight="true" outlineLevel="0" collapsed="false">
      <c r="A56" s="14" t="s">
        <v>1578</v>
      </c>
      <c r="B56" s="19" t="n">
        <f aca="false">$B$55*$B$10</f>
        <v>7500</v>
      </c>
      <c r="C56" s="16" t="s">
        <v>144</v>
      </c>
      <c r="D56" s="20" t="n">
        <v>7500</v>
      </c>
      <c r="E56" s="21" t="str">
        <f aca="false">IF(ABS(B56-D56)&lt;=0.5,"OK","DIVERSO")</f>
        <v>OK</v>
      </c>
      <c r="F56" s="16" t="s">
        <v>1539</v>
      </c>
    </row>
    <row r="57" customFormat="false" ht="15" hidden="false" customHeight="true" outlineLevel="0" collapsed="false">
      <c r="A57" s="14" t="s">
        <v>1579</v>
      </c>
      <c r="B57" s="19" t="n">
        <f aca="false">$B$55*$B$42</f>
        <v>2500</v>
      </c>
      <c r="C57" s="16" t="s">
        <v>144</v>
      </c>
      <c r="D57" s="20" t="n">
        <v>2500</v>
      </c>
      <c r="E57" s="21" t="str">
        <f aca="false">IF(ABS(B57-D57)&lt;=0.5,"OK","DIVERSO")</f>
        <v>OK</v>
      </c>
      <c r="F57" s="16" t="s">
        <v>1539</v>
      </c>
    </row>
    <row r="58" customFormat="false" ht="15" hidden="false" customHeight="true" outlineLevel="0" collapsed="false">
      <c r="A58" s="14" t="s">
        <v>1580</v>
      </c>
      <c r="B58" s="19" t="n">
        <f aca="false">$B$55*$B$9</f>
        <v>150000</v>
      </c>
      <c r="C58" s="16" t="s">
        <v>140</v>
      </c>
      <c r="D58" s="20" t="n">
        <v>150000</v>
      </c>
      <c r="E58" s="21" t="str">
        <f aca="false">IF(ABS(B58-D58)&lt;=0.5,"OK","DIVERSO")</f>
        <v>OK</v>
      </c>
      <c r="F58" s="16" t="s">
        <v>1539</v>
      </c>
    </row>
    <row r="59" customFormat="false" ht="15" hidden="false" customHeight="true" outlineLevel="0" collapsed="false">
      <c r="A59" s="14" t="s">
        <v>1581</v>
      </c>
      <c r="B59" s="19" t="n">
        <f aca="false">$B$45*$B$42+$B$49*$B$43</f>
        <v>4500</v>
      </c>
      <c r="C59" s="16" t="s">
        <v>144</v>
      </c>
      <c r="D59" s="20" t="n">
        <v>4500</v>
      </c>
      <c r="E59" s="21" t="str">
        <f aca="false">IF(ABS(B59-D59)&lt;=0.5,"OK","DIVERSO")</f>
        <v>OK</v>
      </c>
      <c r="F59" s="16" t="s">
        <v>1539</v>
      </c>
    </row>
    <row r="60" customFormat="false" ht="15" hidden="false" customHeight="true" outlineLevel="0" collapsed="false">
      <c r="A60" s="14" t="s">
        <v>1582</v>
      </c>
      <c r="B60" s="19" t="n">
        <f aca="false">($B$20*$B$43-$B$12*$B$44)/($B$10*$B$43-$B$12*$B$42)</f>
        <v>1500</v>
      </c>
      <c r="C60" s="16" t="s">
        <v>123</v>
      </c>
      <c r="D60" s="20" t="n">
        <v>1500</v>
      </c>
      <c r="E60" s="21" t="str">
        <f aca="false">IF(ABS(B60-D60)&lt;=0.5,"OK","DIVERSO")</f>
        <v>OK</v>
      </c>
      <c r="F60" s="16" t="s">
        <v>1539</v>
      </c>
    </row>
    <row r="61" customFormat="false" ht="15" hidden="false" customHeight="true" outlineLevel="0" collapsed="false">
      <c r="A61" s="14" t="s">
        <v>1583</v>
      </c>
      <c r="B61" s="19" t="n">
        <f aca="false">($B$10*$B$44-$B$20*$B$42)/($B$10*$B$43-$B$12*$B$42)</f>
        <v>3000</v>
      </c>
      <c r="C61" s="16" t="s">
        <v>123</v>
      </c>
      <c r="D61" s="20" t="n">
        <v>3000</v>
      </c>
      <c r="E61" s="21" t="str">
        <f aca="false">IF(ABS(B61-D61)&lt;=0.5,"OK","DIVERSO")</f>
        <v>OK</v>
      </c>
      <c r="F61" s="16" t="s">
        <v>1539</v>
      </c>
    </row>
    <row r="62" customFormat="false" ht="15" hidden="false" customHeight="true" outlineLevel="0" collapsed="false">
      <c r="A62" s="14" t="s">
        <v>1584</v>
      </c>
      <c r="B62" s="19" t="n">
        <f aca="false">$B$60*$B$10+$B$61*$B$12</f>
        <v>9000</v>
      </c>
      <c r="C62" s="16" t="s">
        <v>144</v>
      </c>
      <c r="D62" s="20" t="n">
        <v>9000</v>
      </c>
      <c r="E62" s="21" t="str">
        <f aca="false">IF(ABS(B62-D62)&lt;=0.5,"OK","DIVERSO")</f>
        <v>OK</v>
      </c>
      <c r="F62" s="16" t="s">
        <v>1539</v>
      </c>
    </row>
    <row r="63" customFormat="false" ht="15" hidden="false" customHeight="true" outlineLevel="0" collapsed="false">
      <c r="A63" s="14" t="s">
        <v>1585</v>
      </c>
      <c r="B63" s="19" t="n">
        <f aca="false">$B$60*$B$42+$B$61*$B$43</f>
        <v>7500</v>
      </c>
      <c r="C63" s="16" t="s">
        <v>144</v>
      </c>
      <c r="D63" s="20" t="n">
        <v>7500</v>
      </c>
      <c r="E63" s="21" t="str">
        <f aca="false">IF(ABS(B63-D63)&lt;=0.5,"OK","DIVERSO")</f>
        <v>OK</v>
      </c>
      <c r="F63" s="16" t="s">
        <v>1539</v>
      </c>
    </row>
    <row r="64" customFormat="false" ht="15" hidden="false" customHeight="true" outlineLevel="0" collapsed="false">
      <c r="A64" s="14" t="s">
        <v>1586</v>
      </c>
      <c r="B64" s="19" t="n">
        <f aca="false">$B$60*$B$9+$B$61*$B$11</f>
        <v>225000</v>
      </c>
      <c r="C64" s="16" t="s">
        <v>140</v>
      </c>
      <c r="D64" s="20" t="n">
        <v>225000</v>
      </c>
      <c r="E64" s="21" t="str">
        <f aca="false">IF(ABS(B64-D64)&lt;=0.5,"OK","DIVERSO")</f>
        <v>OK</v>
      </c>
      <c r="F64" s="16" t="s">
        <v>1539</v>
      </c>
    </row>
    <row r="65" customFormat="false" ht="15" hidden="false" customHeight="true" outlineLevel="0" collapsed="false">
      <c r="A65" s="14" t="s">
        <v>1587</v>
      </c>
      <c r="B65" s="19" t="n">
        <f aca="false">$B$44/$B$43</f>
        <v>3750</v>
      </c>
      <c r="C65" s="16" t="s">
        <v>123</v>
      </c>
      <c r="D65" s="20" t="n">
        <v>3750</v>
      </c>
      <c r="E65" s="21" t="str">
        <f aca="false">IF(ABS(B65-D65)&lt;=0.5,"OK","DIVERSO")</f>
        <v>OK</v>
      </c>
      <c r="F65" s="16" t="s">
        <v>1539</v>
      </c>
    </row>
    <row r="66" customFormat="false" ht="15" hidden="false" customHeight="true" outlineLevel="0" collapsed="false">
      <c r="A66" s="14" t="s">
        <v>1588</v>
      </c>
      <c r="B66" s="19" t="n">
        <f aca="false">$B$65*$B$12</f>
        <v>5625</v>
      </c>
      <c r="C66" s="16" t="s">
        <v>144</v>
      </c>
      <c r="D66" s="20" t="n">
        <v>5625</v>
      </c>
      <c r="E66" s="21" t="str">
        <f aca="false">IF(ABS(B66-D66)&lt;=0.5,"OK","DIVERSO")</f>
        <v>OK</v>
      </c>
      <c r="F66" s="16" t="s">
        <v>1539</v>
      </c>
    </row>
    <row r="67" customFormat="false" ht="15" hidden="false" customHeight="true" outlineLevel="0" collapsed="false">
      <c r="A67" s="14" t="s">
        <v>1589</v>
      </c>
      <c r="B67" s="19" t="n">
        <f aca="false">$B$65*$B$11</f>
        <v>168750</v>
      </c>
      <c r="C67" s="16" t="s">
        <v>140</v>
      </c>
      <c r="D67" s="20" t="n">
        <v>168750</v>
      </c>
      <c r="E67" s="21" t="str">
        <f aca="false">IF(ABS(B67-D67)&lt;=0.5,"OK","DIVERSO")</f>
        <v>OK</v>
      </c>
      <c r="F67" s="16" t="s">
        <v>1539</v>
      </c>
    </row>
    <row r="68" customFormat="false" ht="15" hidden="false" customHeight="true" outlineLevel="0" collapsed="false">
      <c r="A68" s="14" t="s">
        <v>1590</v>
      </c>
      <c r="B68" s="19" t="n">
        <f aca="false">MAX($B$58,$B$50,$B$64,$B$67)</f>
        <v>225000</v>
      </c>
      <c r="C68" s="16" t="s">
        <v>140</v>
      </c>
      <c r="D68" s="20" t="n">
        <v>225000</v>
      </c>
      <c r="E68" s="21" t="str">
        <f aca="false">IF(ABS(B68-D68)&lt;=0.5,"OK","DIVERSO")</f>
        <v>OK</v>
      </c>
      <c r="F68" s="16" t="s">
        <v>1539</v>
      </c>
    </row>
    <row r="69" customFormat="false" ht="15" hidden="false" customHeight="true" outlineLevel="0" collapsed="false"/>
    <row r="70" customFormat="false" ht="15" hidden="false" customHeight="true" outlineLevel="0" collapsed="false">
      <c r="A70" s="13" t="s">
        <v>1591</v>
      </c>
      <c r="B70" s="13"/>
      <c r="C70" s="13"/>
      <c r="D70" s="13"/>
      <c r="E70" s="13"/>
      <c r="F70" s="13"/>
    </row>
    <row r="71" customFormat="false" ht="15" hidden="false" customHeight="true" outlineLevel="0" collapsed="false">
      <c r="A71" s="22" t="s">
        <v>1592</v>
      </c>
      <c r="B71" s="22"/>
      <c r="C71" s="22"/>
      <c r="D71" s="22"/>
      <c r="E71" s="22"/>
      <c r="F71" s="22"/>
    </row>
    <row r="72" customFormat="false" ht="15" hidden="false" customHeight="true" outlineLevel="0" collapsed="false">
      <c r="A72" s="6" t="s">
        <v>116</v>
      </c>
      <c r="B72" s="6" t="s">
        <v>117</v>
      </c>
      <c r="C72" s="6" t="s">
        <v>118</v>
      </c>
      <c r="D72" s="6" t="s">
        <v>119</v>
      </c>
      <c r="E72" s="6" t="s">
        <v>120</v>
      </c>
      <c r="F72" s="6" t="s">
        <v>121</v>
      </c>
    </row>
    <row r="73" customFormat="false" ht="15" hidden="false" customHeight="true" outlineLevel="0" collapsed="false">
      <c r="A73" s="14" t="s">
        <v>1593</v>
      </c>
      <c r="B73" s="23" t="n">
        <f aca="false">($B$9*$B$43-$B$42*$B$11)/($B$10*$B$43-$B$42*$B$12)</f>
        <v>16.6666666666667</v>
      </c>
      <c r="C73" s="16" t="s">
        <v>146</v>
      </c>
      <c r="D73" s="24" t="n">
        <v>16.67</v>
      </c>
      <c r="E73" s="21" t="str">
        <f aca="false">IF(ABS(B73-D73)&lt;=0.005,"OK","DIVERSO")</f>
        <v>OK</v>
      </c>
      <c r="F73" s="16" t="s">
        <v>1539</v>
      </c>
    </row>
    <row r="74" customFormat="false" ht="15" hidden="false" customHeight="true" outlineLevel="0" collapsed="false">
      <c r="A74" s="14" t="s">
        <v>1594</v>
      </c>
      <c r="B74" s="19" t="n">
        <f aca="false">($B$10*$B$11-$B$12*$B$9)/($B$10*$B$43-$B$42*$B$12)</f>
        <v>10</v>
      </c>
      <c r="C74" s="16" t="s">
        <v>146</v>
      </c>
      <c r="D74" s="20" t="n">
        <v>10</v>
      </c>
      <c r="E74" s="21" t="str">
        <f aca="false">IF(ABS(B74-D74)&lt;=0.5,"OK","DIVERSO")</f>
        <v>OK</v>
      </c>
      <c r="F74" s="16" t="s">
        <v>1539</v>
      </c>
    </row>
    <row r="75" customFormat="false" ht="15" hidden="false" customHeight="true" outlineLevel="0" collapsed="false">
      <c r="A75" s="14" t="s">
        <v>1595</v>
      </c>
      <c r="B75" s="19" t="n">
        <f aca="false">$B$20*$B$73+$B$44*$B$74</f>
        <v>225000</v>
      </c>
      <c r="C75" s="16" t="s">
        <v>140</v>
      </c>
      <c r="D75" s="20" t="n">
        <v>225000</v>
      </c>
      <c r="E75" s="21" t="str">
        <f aca="false">IF(ABS(B75-D75)&lt;=0.5,"OK","DIVERSO")</f>
        <v>OK</v>
      </c>
      <c r="F75" s="16" t="s">
        <v>1539</v>
      </c>
    </row>
    <row r="76" customFormat="false" ht="15" hidden="false" customHeight="true" outlineLevel="0" collapsed="false"/>
    <row r="77" customFormat="false" ht="15" hidden="false" customHeight="true" outlineLevel="0" collapsed="false">
      <c r="A77" s="13" t="s">
        <v>1596</v>
      </c>
      <c r="B77" s="13"/>
      <c r="C77" s="13"/>
      <c r="D77" s="13"/>
      <c r="E77" s="13"/>
      <c r="F77" s="13"/>
    </row>
    <row r="78" customFormat="false" ht="15" hidden="false" customHeight="true" outlineLevel="0" collapsed="false">
      <c r="A78" s="22" t="s">
        <v>1597</v>
      </c>
      <c r="B78" s="22"/>
      <c r="C78" s="22"/>
      <c r="D78" s="22"/>
      <c r="E78" s="22"/>
      <c r="F78" s="22"/>
    </row>
    <row r="79" customFormat="false" ht="15" hidden="false" customHeight="true" outlineLevel="0" collapsed="false">
      <c r="A79" s="6" t="s">
        <v>116</v>
      </c>
      <c r="B79" s="6" t="s">
        <v>117</v>
      </c>
      <c r="C79" s="6" t="s">
        <v>118</v>
      </c>
      <c r="D79" s="6" t="s">
        <v>119</v>
      </c>
      <c r="E79" s="6" t="s">
        <v>120</v>
      </c>
      <c r="F79" s="6" t="s">
        <v>121</v>
      </c>
    </row>
    <row r="80" customFormat="false" ht="15" hidden="false" customHeight="true" outlineLevel="0" collapsed="false">
      <c r="A80" s="14" t="s">
        <v>1598</v>
      </c>
      <c r="B80" s="15" t="n">
        <v>200</v>
      </c>
      <c r="C80" s="16" t="s">
        <v>123</v>
      </c>
      <c r="D80" s="17"/>
      <c r="E80" s="17"/>
      <c r="F80" s="16" t="s">
        <v>1539</v>
      </c>
    </row>
    <row r="81" customFormat="false" ht="15" hidden="false" customHeight="true" outlineLevel="0" collapsed="false">
      <c r="A81" s="14" t="s">
        <v>1599</v>
      </c>
      <c r="B81" s="19" t="n">
        <f aca="false">$B$80*$B$10</f>
        <v>600</v>
      </c>
      <c r="C81" s="16" t="s">
        <v>144</v>
      </c>
      <c r="D81" s="20" t="n">
        <v>600</v>
      </c>
      <c r="E81" s="21" t="str">
        <f aca="false">IF(ABS(B81-D81)&lt;=0.5,"OK","DIVERSO")</f>
        <v>OK</v>
      </c>
      <c r="F81" s="16" t="s">
        <v>1539</v>
      </c>
    </row>
    <row r="82" customFormat="false" ht="15" hidden="false" customHeight="true" outlineLevel="0" collapsed="false">
      <c r="A82" s="14" t="s">
        <v>1600</v>
      </c>
      <c r="B82" s="19" t="n">
        <f aca="false">$B$81/$B$12</f>
        <v>400</v>
      </c>
      <c r="C82" s="16" t="s">
        <v>123</v>
      </c>
      <c r="D82" s="20" t="n">
        <v>400</v>
      </c>
      <c r="E82" s="21" t="str">
        <f aca="false">IF(ABS(B82-D82)&lt;=0.5,"OK","DIVERSO")</f>
        <v>OK</v>
      </c>
      <c r="F82" s="16" t="s">
        <v>1539</v>
      </c>
    </row>
    <row r="83" customFormat="false" ht="15" hidden="false" customHeight="true" outlineLevel="0" collapsed="false">
      <c r="A83" s="14" t="s">
        <v>1601</v>
      </c>
      <c r="B83" s="19" t="n">
        <f aca="false">$B$80*$B$9</f>
        <v>12000</v>
      </c>
      <c r="C83" s="16" t="s">
        <v>140</v>
      </c>
      <c r="D83" s="20" t="n">
        <v>12000</v>
      </c>
      <c r="E83" s="21" t="str">
        <f aca="false">IF(ABS(B83-D83)&lt;=0.5,"OK","DIVERSO")</f>
        <v>OK</v>
      </c>
      <c r="F83" s="16" t="s">
        <v>1539</v>
      </c>
    </row>
    <row r="84" customFormat="false" ht="15" hidden="false" customHeight="true" outlineLevel="0" collapsed="false">
      <c r="A84" s="14" t="s">
        <v>1602</v>
      </c>
      <c r="B84" s="19" t="n">
        <f aca="false">$B$82*$B$11</f>
        <v>18000</v>
      </c>
      <c r="C84" s="16" t="s">
        <v>140</v>
      </c>
      <c r="D84" s="20" t="n">
        <v>18000</v>
      </c>
      <c r="E84" s="21" t="str">
        <f aca="false">IF(ABS(B84-D84)&lt;=0.5,"OK","DIVERSO")</f>
        <v>OK</v>
      </c>
      <c r="F84" s="16" t="s">
        <v>1539</v>
      </c>
    </row>
    <row r="85" customFormat="false" ht="15" hidden="false" customHeight="true" outlineLevel="0" collapsed="false">
      <c r="A85" s="14" t="s">
        <v>1603</v>
      </c>
      <c r="B85" s="19" t="n">
        <f aca="false">$B$84-$B$83</f>
        <v>6000</v>
      </c>
      <c r="C85" s="16" t="s">
        <v>140</v>
      </c>
      <c r="D85" s="20" t="n">
        <v>6000</v>
      </c>
      <c r="E85" s="21" t="str">
        <f aca="false">IF(ABS(B85-D85)&lt;=0.5,"OK","DIVERSO")</f>
        <v>OK</v>
      </c>
      <c r="F85" s="16" t="s">
        <v>1539</v>
      </c>
    </row>
    <row r="86" customFormat="false" ht="15" hidden="false" customHeight="true" outlineLevel="0" collapsed="false">
      <c r="A86" s="14" t="s">
        <v>1604</v>
      </c>
      <c r="B86" s="19" t="n">
        <f aca="false">$B$81*($B$14-$B$13)</f>
        <v>6000</v>
      </c>
      <c r="C86" s="16" t="s">
        <v>140</v>
      </c>
      <c r="D86" s="20" t="n">
        <v>6000</v>
      </c>
      <c r="E86" s="21" t="str">
        <f aca="false">IF(ABS(B86-D86)&lt;=0.5,"OK","DIVERSO")</f>
        <v>OK</v>
      </c>
      <c r="F86" s="16" t="s">
        <v>1539</v>
      </c>
    </row>
    <row r="87" customFormat="false" ht="15" hidden="false" customHeight="true" outlineLevel="0" collapsed="false"/>
    <row r="88" customFormat="false" ht="15" hidden="false" customHeight="true" outlineLevel="0" collapsed="false">
      <c r="A88" s="13" t="s">
        <v>1605</v>
      </c>
      <c r="B88" s="13"/>
      <c r="C88" s="13"/>
      <c r="D88" s="13"/>
      <c r="E88" s="13"/>
      <c r="F88" s="13"/>
    </row>
    <row r="89" customFormat="false" ht="15" hidden="false" customHeight="true" outlineLevel="0" collapsed="false">
      <c r="A89" s="22" t="s">
        <v>1606</v>
      </c>
      <c r="B89" s="22"/>
      <c r="C89" s="22"/>
      <c r="D89" s="22"/>
      <c r="E89" s="22"/>
      <c r="F89" s="22"/>
    </row>
    <row r="90" customFormat="false" ht="15" hidden="false" customHeight="true" outlineLevel="0" collapsed="false">
      <c r="A90" s="6" t="s">
        <v>116</v>
      </c>
      <c r="B90" s="6" t="s">
        <v>117</v>
      </c>
      <c r="C90" s="6" t="s">
        <v>118</v>
      </c>
      <c r="D90" s="6" t="s">
        <v>119</v>
      </c>
      <c r="E90" s="6" t="s">
        <v>120</v>
      </c>
      <c r="F90" s="6" t="s">
        <v>121</v>
      </c>
    </row>
    <row r="91" customFormat="false" ht="15" hidden="false" customHeight="true" outlineLevel="0" collapsed="false">
      <c r="A91" s="14" t="s">
        <v>1607</v>
      </c>
      <c r="B91" s="19" t="n">
        <f aca="false">Cap_15!$B$110</f>
        <v>1011000</v>
      </c>
      <c r="C91" s="16" t="s">
        <v>140</v>
      </c>
      <c r="D91" s="20" t="n">
        <v>1011000</v>
      </c>
      <c r="E91" s="21" t="str">
        <f aca="false">IF(ABS(B91-D91)&lt;=0.5,"OK","DIVERSO")</f>
        <v>OK</v>
      </c>
      <c r="F91" s="16" t="s">
        <v>1539</v>
      </c>
    </row>
    <row r="92" customFormat="false" ht="15" hidden="false" customHeight="true" outlineLevel="0" collapsed="false">
      <c r="A92" s="14" t="s">
        <v>1608</v>
      </c>
      <c r="B92" s="19" t="n">
        <f aca="false">Cap_15!$B$117</f>
        <v>275000</v>
      </c>
      <c r="C92" s="16" t="s">
        <v>140</v>
      </c>
      <c r="D92" s="20" t="n">
        <v>275000</v>
      </c>
      <c r="E92" s="21" t="str">
        <f aca="false">IF(ABS(B92-D92)&lt;=0.5,"OK","DIVERSO")</f>
        <v>OK</v>
      </c>
      <c r="F92" s="16" t="s">
        <v>1539</v>
      </c>
    </row>
    <row r="93" customFormat="false" ht="15" hidden="false" customHeight="true" outlineLevel="0" collapsed="false">
      <c r="A93" s="14" t="s">
        <v>1609</v>
      </c>
      <c r="B93" s="19" t="n">
        <f aca="false">Cap_15!$B$108</f>
        <v>1062000</v>
      </c>
      <c r="C93" s="16" t="s">
        <v>140</v>
      </c>
      <c r="D93" s="20" t="n">
        <v>1062000</v>
      </c>
      <c r="E93" s="21" t="str">
        <f aca="false">IF(ABS(B93-D93)&lt;=0.5,"OK","DIVERSO")</f>
        <v>OK</v>
      </c>
      <c r="F93" s="16" t="s">
        <v>1539</v>
      </c>
    </row>
    <row r="94" customFormat="false" ht="15" hidden="false" customHeight="true" outlineLevel="0" collapsed="false">
      <c r="A94" s="14" t="s">
        <v>1610</v>
      </c>
      <c r="B94" s="19" t="n">
        <f aca="false">Cap_15!$B$112</f>
        <v>84000</v>
      </c>
      <c r="C94" s="16" t="s">
        <v>140</v>
      </c>
      <c r="D94" s="20" t="n">
        <v>84000</v>
      </c>
      <c r="E94" s="21" t="str">
        <f aca="false">IF(ABS(B94-D94)&lt;=0.5,"OK","DIVERSO")</f>
        <v>OK</v>
      </c>
      <c r="F94" s="16" t="s">
        <v>1539</v>
      </c>
    </row>
    <row r="95" customFormat="false" ht="15" hidden="false" customHeight="true" outlineLevel="0" collapsed="false">
      <c r="A95" s="14" t="s">
        <v>1611</v>
      </c>
      <c r="B95" s="19" t="n">
        <f aca="false">Cap_15!$B$115</f>
        <v>242000</v>
      </c>
      <c r="C95" s="16" t="s">
        <v>140</v>
      </c>
      <c r="D95" s="20" t="n">
        <v>242000</v>
      </c>
      <c r="E95" s="21" t="str">
        <f aca="false">IF(ABS(B95-D95)&lt;=0.5,"OK","DIVERSO")</f>
        <v>OK</v>
      </c>
      <c r="F95" s="16" t="s">
        <v>1539</v>
      </c>
    </row>
    <row r="96" customFormat="false" ht="15" hidden="false" customHeight="true" outlineLevel="0" collapsed="false">
      <c r="A96" s="14" t="s">
        <v>1612</v>
      </c>
      <c r="B96" s="19" t="n">
        <f aca="false">(Impresa_guida!$B$26-Cap_15!$B$99-Impresa_guida!$B$16*Impresa_guida!$B$19)/Impresa_guida!$B$11</f>
        <v>6000</v>
      </c>
      <c r="C96" s="16" t="s">
        <v>123</v>
      </c>
      <c r="D96" s="20" t="n">
        <v>6000</v>
      </c>
      <c r="E96" s="21" t="str">
        <f aca="false">IF(ABS(B96-D96)&lt;=0.5,"OK","DIVERSO")</f>
        <v>OK</v>
      </c>
      <c r="F96" s="16" t="s">
        <v>1539</v>
      </c>
    </row>
    <row r="97" customFormat="false" ht="15" hidden="false" customHeight="true" outlineLevel="0" collapsed="false">
      <c r="A97" s="14" t="s">
        <v>1613</v>
      </c>
      <c r="B97" s="19" t="n">
        <f aca="false">$B$96*Cap_15!$B$92+Impresa_guida!$B$12*Cap_15!$B$94+Impresa_guida!$B$16*Cap_15!$B$96</f>
        <v>936000</v>
      </c>
      <c r="C97" s="16" t="s">
        <v>140</v>
      </c>
      <c r="D97" s="20" t="n">
        <v>936000</v>
      </c>
      <c r="E97" s="21" t="str">
        <f aca="false">IF(ABS(B97-D97)&lt;=0.5,"OK","DIVERSO")</f>
        <v>OK</v>
      </c>
      <c r="F97" s="16" t="s">
        <v>1539</v>
      </c>
    </row>
    <row r="98" customFormat="false" ht="15" hidden="false" customHeight="true" outlineLevel="0" collapsed="false">
      <c r="A98" s="14" t="s">
        <v>1614</v>
      </c>
      <c r="B98" s="19" t="n">
        <f aca="false">$B$97-Impresa_guida!$B$40</f>
        <v>200000</v>
      </c>
      <c r="C98" s="16" t="s">
        <v>140</v>
      </c>
      <c r="D98" s="20" t="n">
        <v>200000</v>
      </c>
      <c r="E98" s="21" t="str">
        <f aca="false">IF(ABS(B98-D98)&lt;=0.5,"OK","DIVERSO")</f>
        <v>OK</v>
      </c>
      <c r="F98" s="16" t="s">
        <v>1539</v>
      </c>
    </row>
    <row r="99" customFormat="false" ht="15" hidden="false" customHeight="true" outlineLevel="0" collapsed="false">
      <c r="A99" s="14" t="s">
        <v>1615</v>
      </c>
      <c r="B99" s="19" t="n">
        <f aca="false">(Impresa_guida!$B$26-Cap_15!$B$98-Impresa_guida!$B$16*Impresa_guida!$B$19)/Impresa_guida!$B$15</f>
        <v>6000</v>
      </c>
      <c r="C99" s="16" t="s">
        <v>123</v>
      </c>
      <c r="D99" s="20" t="n">
        <v>6000</v>
      </c>
      <c r="E99" s="21" t="str">
        <f aca="false">IF(ABS(B99-D99)&lt;=0.5,"OK","DIVERSO")</f>
        <v>OK</v>
      </c>
      <c r="F99" s="16" t="s">
        <v>1539</v>
      </c>
    </row>
    <row r="100" customFormat="false" ht="15" hidden="false" customHeight="true" outlineLevel="0" collapsed="false">
      <c r="A100" s="14" t="s">
        <v>1616</v>
      </c>
      <c r="B100" s="19" t="n">
        <f aca="false">Impresa_guida!$B$8*Cap_15!$B$92+$B$99*Cap_15!$B$94+Impresa_guida!$B$16*Cap_15!$B$96</f>
        <v>834000</v>
      </c>
      <c r="C100" s="16" t="s">
        <v>140</v>
      </c>
      <c r="D100" s="20" t="n">
        <v>834000</v>
      </c>
      <c r="E100" s="21" t="str">
        <f aca="false">IF(ABS(B100-D100)&lt;=0.5,"OK","DIVERSO")</f>
        <v>OK</v>
      </c>
      <c r="F100" s="16" t="s">
        <v>1539</v>
      </c>
    </row>
    <row r="101" customFormat="false" ht="15" hidden="false" customHeight="true" outlineLevel="0" collapsed="false">
      <c r="A101" s="14" t="s">
        <v>1617</v>
      </c>
      <c r="B101" s="19" t="n">
        <f aca="false">$B$100-Impresa_guida!$B$40</f>
        <v>98000</v>
      </c>
      <c r="C101" s="16" t="s">
        <v>140</v>
      </c>
      <c r="D101" s="20" t="n">
        <v>98000</v>
      </c>
      <c r="E101" s="21" t="str">
        <f aca="false">IF(ABS(B101-D101)&lt;=0.5,"OK","DIVERSO")</f>
        <v>OK</v>
      </c>
      <c r="F101" s="16" t="s">
        <v>1539</v>
      </c>
    </row>
    <row r="102" customFormat="false" ht="15" hidden="false" customHeight="true" outlineLevel="0" collapsed="false">
      <c r="A102" s="14" t="s">
        <v>1618</v>
      </c>
      <c r="B102" s="19" t="n">
        <f aca="false">$B$91-$B$100</f>
        <v>177000</v>
      </c>
      <c r="C102" s="16" t="s">
        <v>140</v>
      </c>
      <c r="D102" s="20" t="n">
        <v>177000</v>
      </c>
      <c r="E102" s="21" t="str">
        <f aca="false">IF(ABS(B102-D102)&lt;=0.5,"OK","DIVERSO")</f>
        <v>OK</v>
      </c>
      <c r="F102" s="16" t="s">
        <v>1539</v>
      </c>
    </row>
    <row r="103" customFormat="false" ht="15" hidden="false" customHeight="true" outlineLevel="0" collapsed="false"/>
    <row r="104" customFormat="false" ht="15" hidden="false" customHeight="true" outlineLevel="0" collapsed="false">
      <c r="A104" s="13" t="s">
        <v>1619</v>
      </c>
      <c r="B104" s="13"/>
      <c r="C104" s="13"/>
      <c r="D104" s="13"/>
      <c r="E104" s="13"/>
      <c r="F104" s="13"/>
    </row>
    <row r="105" customFormat="false" ht="15" hidden="false" customHeight="true" outlineLevel="0" collapsed="false">
      <c r="A105" s="22" t="s">
        <v>1620</v>
      </c>
      <c r="B105" s="22"/>
      <c r="C105" s="22"/>
      <c r="D105" s="22"/>
      <c r="E105" s="22"/>
      <c r="F105" s="22"/>
    </row>
    <row r="106" customFormat="false" ht="15" hidden="false" customHeight="true" outlineLevel="0" collapsed="false">
      <c r="A106" s="6" t="s">
        <v>116</v>
      </c>
      <c r="B106" s="6" t="s">
        <v>117</v>
      </c>
      <c r="C106" s="6" t="s">
        <v>118</v>
      </c>
      <c r="D106" s="6" t="s">
        <v>119</v>
      </c>
      <c r="E106" s="6" t="s">
        <v>120</v>
      </c>
      <c r="F106" s="6" t="s">
        <v>121</v>
      </c>
    </row>
    <row r="107" customFormat="false" ht="15" hidden="false" customHeight="true" outlineLevel="0" collapsed="false">
      <c r="A107" s="14" t="s">
        <v>1557</v>
      </c>
      <c r="B107" s="19" t="n">
        <f aca="false">Cap_15!$B$97</f>
        <v>17</v>
      </c>
      <c r="C107" s="16" t="s">
        <v>146</v>
      </c>
      <c r="D107" s="20" t="n">
        <v>17</v>
      </c>
      <c r="E107" s="21" t="str">
        <f aca="false">IF(ABS(B107-D107)&lt;=0.5,"OK","DIVERSO")</f>
        <v>OK</v>
      </c>
      <c r="F107" s="16" t="s">
        <v>1539</v>
      </c>
    </row>
    <row r="108" customFormat="false" ht="15" hidden="false" customHeight="true" outlineLevel="0" collapsed="false">
      <c r="A108" s="14" t="s">
        <v>1621</v>
      </c>
      <c r="B108" s="19" t="n">
        <f aca="false">(Impresa_guida!$B$16-Cap_15!$B$100)*Impresa_guida!$B$19</f>
        <v>3000</v>
      </c>
      <c r="C108" s="16" t="s">
        <v>144</v>
      </c>
      <c r="D108" s="20" t="n">
        <v>3000</v>
      </c>
      <c r="E108" s="21" t="str">
        <f aca="false">IF(ABS(B108-D108)&lt;=0.5,"OK","DIVERSO")</f>
        <v>OK</v>
      </c>
      <c r="F108" s="16" t="s">
        <v>1539</v>
      </c>
    </row>
    <row r="109" customFormat="false" ht="15" hidden="false" customHeight="true" outlineLevel="0" collapsed="false">
      <c r="A109" s="14" t="s">
        <v>1622</v>
      </c>
      <c r="B109" s="19" t="n">
        <f aca="false">Impresa_guida!$B$27-$B$107</f>
        <v>11</v>
      </c>
      <c r="C109" s="16" t="s">
        <v>146</v>
      </c>
      <c r="D109" s="20" t="n">
        <v>11</v>
      </c>
      <c r="E109" s="21" t="str">
        <f aca="false">IF(ABS(B109-D109)&lt;=0.5,"OK","DIVERSO")</f>
        <v>OK</v>
      </c>
      <c r="F109" s="16" t="s">
        <v>1539</v>
      </c>
    </row>
    <row r="110" customFormat="false" ht="15" hidden="false" customHeight="true" outlineLevel="0" collapsed="false">
      <c r="A110" s="14" t="s">
        <v>1623</v>
      </c>
      <c r="B110" s="19" t="n">
        <f aca="false">$B$108*(Impresa_guida!$B$27-Cap_15!$B$97)</f>
        <v>33000</v>
      </c>
      <c r="C110" s="16" t="s">
        <v>140</v>
      </c>
      <c r="D110" s="20" t="n">
        <v>33000</v>
      </c>
      <c r="E110" s="21" t="str">
        <f aca="false">IF(ABS(B110-D110)&lt;=0.5,"OK","DIVERSO")</f>
        <v>OK</v>
      </c>
      <c r="F110" s="16" t="s">
        <v>1539</v>
      </c>
    </row>
    <row r="111" customFormat="false" ht="15" hidden="false" customHeight="true" outlineLevel="0" collapsed="false">
      <c r="A111" s="14" t="s">
        <v>1624</v>
      </c>
      <c r="B111" s="19" t="n">
        <f aca="false">$B$108/Impresa_guida!$B$11</f>
        <v>2000</v>
      </c>
      <c r="C111" s="16" t="s">
        <v>123</v>
      </c>
      <c r="D111" s="20" t="n">
        <v>2000</v>
      </c>
      <c r="E111" s="21" t="str">
        <f aca="false">IF(ABS(B111-D111)&lt;=0.5,"OK","DIVERSO")</f>
        <v>OK</v>
      </c>
      <c r="F111" s="16" t="s">
        <v>1539</v>
      </c>
    </row>
    <row r="112" customFormat="false" ht="15" hidden="false" customHeight="true" outlineLevel="0" collapsed="false">
      <c r="A112" s="14" t="s">
        <v>1625</v>
      </c>
      <c r="B112" s="19" t="n">
        <f aca="false">$B$108*(Cap_15!$B$93-Cap_15!$B$97)</f>
        <v>75000</v>
      </c>
      <c r="C112" s="16" t="s">
        <v>140</v>
      </c>
      <c r="D112" s="20" t="n">
        <v>75000</v>
      </c>
      <c r="E112" s="21" t="str">
        <f aca="false">IF(ABS(B112-D112)&lt;=0.5,"OK","DIVERSO")</f>
        <v>OK</v>
      </c>
      <c r="F112" s="16" t="s">
        <v>1539</v>
      </c>
    </row>
    <row r="113" customFormat="false" ht="15" hidden="false" customHeight="true" outlineLevel="0" collapsed="false">
      <c r="A113" s="14" t="s">
        <v>1626</v>
      </c>
      <c r="B113" s="28" t="str">
        <f aca="false">IF($B$110&lt;$B$112,"Comprare le ore","Togliere ore alla linea A")</f>
        <v>Comprare le ore</v>
      </c>
      <c r="C113" s="16"/>
      <c r="D113" s="29" t="s">
        <v>1627</v>
      </c>
      <c r="E113" s="21" t="str">
        <f aca="false">IF(B113=D113,"OK","DIVERSO")</f>
        <v>OK</v>
      </c>
      <c r="F113" s="16" t="s">
        <v>1539</v>
      </c>
    </row>
  </sheetData>
  <mergeCells count="20">
    <mergeCell ref="A1:F1"/>
    <mergeCell ref="A4:F4"/>
    <mergeCell ref="A6:F6"/>
    <mergeCell ref="A7:F7"/>
    <mergeCell ref="A17:F17"/>
    <mergeCell ref="A18:F18"/>
    <mergeCell ref="A30:F30"/>
    <mergeCell ref="A31:F31"/>
    <mergeCell ref="A39:F39"/>
    <mergeCell ref="A40:F40"/>
    <mergeCell ref="A52:F52"/>
    <mergeCell ref="A53:F53"/>
    <mergeCell ref="A70:F70"/>
    <mergeCell ref="A71:F71"/>
    <mergeCell ref="A77:F77"/>
    <mergeCell ref="A78:F78"/>
    <mergeCell ref="A88:F88"/>
    <mergeCell ref="A89:F89"/>
    <mergeCell ref="A104:F104"/>
    <mergeCell ref="A105:F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74</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1628</v>
      </c>
      <c r="B4" s="5"/>
      <c r="C4" s="5"/>
      <c r="D4" s="5"/>
      <c r="E4" s="5"/>
      <c r="F4" s="5"/>
    </row>
    <row r="5" customFormat="false" ht="15" hidden="false" customHeight="true" outlineLevel="0" collapsed="false"/>
    <row r="6" customFormat="false" ht="15" hidden="false" customHeight="true" outlineLevel="0" collapsed="false">
      <c r="A6" s="13" t="s">
        <v>1629</v>
      </c>
      <c r="B6" s="13"/>
      <c r="C6" s="13"/>
      <c r="D6" s="13"/>
      <c r="E6" s="13"/>
      <c r="F6" s="13"/>
    </row>
    <row r="7" customFormat="false" ht="30" hidden="false" customHeight="true" outlineLevel="0" collapsed="false">
      <c r="A7" s="22" t="s">
        <v>1630</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1631</v>
      </c>
      <c r="B9" s="15" t="n">
        <v>842300</v>
      </c>
      <c r="C9" s="16" t="s">
        <v>140</v>
      </c>
      <c r="D9" s="17"/>
      <c r="E9" s="17"/>
      <c r="F9" s="16" t="s">
        <v>1632</v>
      </c>
    </row>
    <row r="10" customFormat="false" ht="15" hidden="false" customHeight="true" outlineLevel="0" collapsed="false">
      <c r="A10" s="14" t="s">
        <v>1633</v>
      </c>
      <c r="B10" s="15" t="n">
        <v>262900</v>
      </c>
      <c r="C10" s="16" t="s">
        <v>140</v>
      </c>
      <c r="D10" s="17"/>
      <c r="E10" s="17"/>
      <c r="F10" s="16" t="s">
        <v>1632</v>
      </c>
    </row>
    <row r="11" customFormat="false" ht="15" hidden="false" customHeight="true" outlineLevel="0" collapsed="false">
      <c r="A11" s="14" t="s">
        <v>1634</v>
      </c>
      <c r="B11" s="15" t="n">
        <v>204500</v>
      </c>
      <c r="C11" s="16" t="s">
        <v>140</v>
      </c>
      <c r="D11" s="17"/>
      <c r="E11" s="17"/>
      <c r="F11" s="16" t="s">
        <v>1632</v>
      </c>
    </row>
    <row r="12" customFormat="false" ht="15" hidden="false" customHeight="true" outlineLevel="0" collapsed="false">
      <c r="A12" s="14" t="s">
        <v>1635</v>
      </c>
      <c r="B12" s="15" t="n">
        <v>846500</v>
      </c>
      <c r="C12" s="16" t="s">
        <v>140</v>
      </c>
      <c r="D12" s="17"/>
      <c r="E12" s="17"/>
      <c r="F12" s="16" t="s">
        <v>1632</v>
      </c>
    </row>
    <row r="13" customFormat="false" ht="15" hidden="false" customHeight="true" outlineLevel="0" collapsed="false">
      <c r="A13" s="14" t="s">
        <v>1636</v>
      </c>
      <c r="B13" s="15" t="n">
        <v>268000</v>
      </c>
      <c r="C13" s="16" t="s">
        <v>140</v>
      </c>
      <c r="D13" s="17"/>
      <c r="E13" s="17"/>
      <c r="F13" s="16" t="s">
        <v>1632</v>
      </c>
    </row>
    <row r="14" customFormat="false" ht="15" hidden="false" customHeight="true" outlineLevel="0" collapsed="false">
      <c r="A14" s="14" t="s">
        <v>1637</v>
      </c>
      <c r="B14" s="15" t="n">
        <v>205500</v>
      </c>
      <c r="C14" s="16" t="s">
        <v>140</v>
      </c>
      <c r="D14" s="17"/>
      <c r="E14" s="17"/>
      <c r="F14" s="16" t="s">
        <v>1632</v>
      </c>
    </row>
    <row r="15" customFormat="false" ht="15" hidden="false" customHeight="true" outlineLevel="0" collapsed="false">
      <c r="A15" s="14" t="s">
        <v>1638</v>
      </c>
      <c r="B15" s="15" t="n">
        <v>-100</v>
      </c>
      <c r="C15" s="16" t="s">
        <v>144</v>
      </c>
      <c r="D15" s="17"/>
      <c r="E15" s="17"/>
      <c r="F15" s="16" t="s">
        <v>1632</v>
      </c>
    </row>
    <row r="16" customFormat="false" ht="15" hidden="false" customHeight="true" outlineLevel="0" collapsed="false">
      <c r="A16" s="14" t="s">
        <v>1639</v>
      </c>
      <c r="B16" s="19" t="n">
        <f aca="false">$B$10-$B$11</f>
        <v>58400</v>
      </c>
      <c r="C16" s="16" t="s">
        <v>140</v>
      </c>
      <c r="D16" s="20" t="n">
        <v>58400</v>
      </c>
      <c r="E16" s="21" t="str">
        <f aca="false">IF(ABS(B16-D16)&lt;=0.5,"OK","DIVERSO")</f>
        <v>OK</v>
      </c>
      <c r="F16" s="16" t="s">
        <v>1632</v>
      </c>
    </row>
    <row r="17" customFormat="false" ht="15" hidden="false" customHeight="true" outlineLevel="0" collapsed="false">
      <c r="A17" s="14" t="s">
        <v>1640</v>
      </c>
      <c r="B17" s="19" t="n">
        <f aca="false">$B$9+($B$100-$B$12)*$B$9/$B$12</f>
        <v>3375269.73419965</v>
      </c>
      <c r="C17" s="16" t="s">
        <v>140</v>
      </c>
      <c r="D17" s="20" t="n">
        <v>3375300</v>
      </c>
      <c r="E17" s="21" t="str">
        <f aca="false">IF(ABS(B17-D17)&lt;=50,"OK","DIVERSO")</f>
        <v>OK</v>
      </c>
      <c r="F17" s="16" t="s">
        <v>1632</v>
      </c>
    </row>
    <row r="18" customFormat="false" ht="15" hidden="false" customHeight="true" outlineLevel="0" collapsed="false">
      <c r="A18" s="14" t="s">
        <v>1641</v>
      </c>
      <c r="B18" s="19" t="n">
        <f aca="false">$B$10+($B$101-$B$13)*$B$10/$B$13</f>
        <v>1069159.36567164</v>
      </c>
      <c r="C18" s="16" t="s">
        <v>140</v>
      </c>
      <c r="D18" s="20" t="n">
        <v>1069200</v>
      </c>
      <c r="E18" s="21" t="str">
        <f aca="false">IF(ABS(B18-D18)&lt;=50,"OK","DIVERSO")</f>
        <v>OK</v>
      </c>
      <c r="F18" s="16" t="s">
        <v>1632</v>
      </c>
    </row>
    <row r="19" customFormat="false" ht="15" hidden="false" customHeight="true" outlineLevel="0" collapsed="false">
      <c r="A19" s="14" t="s">
        <v>1642</v>
      </c>
      <c r="B19" s="19" t="n">
        <f aca="false">$B$11+($B$104-$B$14)+$B$15*Impresa_guida!$B$27</f>
        <v>816200</v>
      </c>
      <c r="C19" s="16" t="s">
        <v>140</v>
      </c>
      <c r="D19" s="20" t="n">
        <v>816200</v>
      </c>
      <c r="E19" s="21" t="str">
        <f aca="false">IF(ABS(B19-D19)&lt;=0.5,"OK","DIVERSO")</f>
        <v>OK</v>
      </c>
      <c r="F19" s="16" t="s">
        <v>1632</v>
      </c>
    </row>
    <row r="20" customFormat="false" ht="15" hidden="false" customHeight="true" outlineLevel="0" collapsed="false">
      <c r="A20" s="14" t="s">
        <v>1643</v>
      </c>
      <c r="B20" s="19" t="n">
        <f aca="false">$B$18-$B$19</f>
        <v>252959.365671642</v>
      </c>
      <c r="C20" s="16" t="s">
        <v>140</v>
      </c>
      <c r="D20" s="20" t="n">
        <v>253000</v>
      </c>
      <c r="E20" s="21" t="str">
        <f aca="false">IF(ABS(B20-D20)&lt;=50,"OK","DIVERSO")</f>
        <v>OK</v>
      </c>
      <c r="F20" s="16" t="s">
        <v>1632</v>
      </c>
    </row>
    <row r="21" customFormat="false" ht="15" hidden="false" customHeight="true" outlineLevel="0" collapsed="false">
      <c r="A21" s="14" t="s">
        <v>1644</v>
      </c>
      <c r="B21" s="19" t="n">
        <f aca="false">4*($B$10-$B$11)</f>
        <v>233600</v>
      </c>
      <c r="C21" s="16" t="s">
        <v>140</v>
      </c>
      <c r="D21" s="20" t="n">
        <v>233600</v>
      </c>
      <c r="E21" s="21" t="str">
        <f aca="false">IF(ABS(B21-D21)&lt;=0.5,"OK","DIVERSO")</f>
        <v>OK</v>
      </c>
      <c r="F21" s="16" t="s">
        <v>1632</v>
      </c>
    </row>
    <row r="22" customFormat="false" ht="15" hidden="false" customHeight="true" outlineLevel="0" collapsed="false">
      <c r="A22" s="14" t="s">
        <v>1645</v>
      </c>
      <c r="B22" s="19" t="n">
        <f aca="false">$B$20-$B$21</f>
        <v>19359.3656716417</v>
      </c>
      <c r="C22" s="16" t="s">
        <v>140</v>
      </c>
      <c r="D22" s="20" t="n">
        <v>19400</v>
      </c>
      <c r="E22" s="21" t="str">
        <f aca="false">IF(ABS(B22-D22)&lt;=50,"OK","DIVERSO")</f>
        <v>OK</v>
      </c>
      <c r="F22" s="16" t="s">
        <v>1632</v>
      </c>
    </row>
    <row r="23" customFormat="false" ht="15" hidden="false" customHeight="true" outlineLevel="0" collapsed="false"/>
    <row r="24" customFormat="false" ht="15" hidden="false" customHeight="true" outlineLevel="0" collapsed="false">
      <c r="A24" s="13" t="s">
        <v>1646</v>
      </c>
      <c r="B24" s="13"/>
      <c r="C24" s="13"/>
      <c r="D24" s="13"/>
      <c r="E24" s="13"/>
      <c r="F24" s="13"/>
    </row>
    <row r="25" customFormat="false" ht="30" hidden="false" customHeight="true" outlineLevel="0" collapsed="false">
      <c r="A25" s="22" t="s">
        <v>1647</v>
      </c>
      <c r="B25" s="22"/>
      <c r="C25" s="22"/>
      <c r="D25" s="22"/>
      <c r="E25" s="22"/>
      <c r="F25" s="22"/>
    </row>
    <row r="26" customFormat="false" ht="15" hidden="false" customHeight="true" outlineLevel="0" collapsed="false">
      <c r="A26" s="6" t="s">
        <v>116</v>
      </c>
      <c r="B26" s="6" t="s">
        <v>117</v>
      </c>
      <c r="C26" s="6" t="s">
        <v>118</v>
      </c>
      <c r="D26" s="6" t="s">
        <v>119</v>
      </c>
      <c r="E26" s="6" t="s">
        <v>120</v>
      </c>
      <c r="F26" s="6" t="s">
        <v>121</v>
      </c>
    </row>
    <row r="27" customFormat="false" ht="15" hidden="false" customHeight="true" outlineLevel="0" collapsed="false">
      <c r="A27" s="14" t="s">
        <v>892</v>
      </c>
      <c r="B27" s="19" t="n">
        <f aca="false">Cap_02!$B$22</f>
        <v>138000</v>
      </c>
      <c r="C27" s="16" t="s">
        <v>140</v>
      </c>
      <c r="D27" s="17"/>
      <c r="E27" s="17"/>
      <c r="F27" s="16" t="s">
        <v>1648</v>
      </c>
    </row>
    <row r="28" customFormat="false" ht="15" hidden="false" customHeight="true" outlineLevel="0" collapsed="false">
      <c r="A28" s="14" t="s">
        <v>1649</v>
      </c>
      <c r="B28" s="19" t="n">
        <f aca="false">Cap_02!$B$25</f>
        <v>32000</v>
      </c>
      <c r="C28" s="16" t="s">
        <v>140</v>
      </c>
      <c r="D28" s="17"/>
      <c r="E28" s="17"/>
      <c r="F28" s="16" t="s">
        <v>1648</v>
      </c>
    </row>
    <row r="29" customFormat="false" ht="15" hidden="false" customHeight="true" outlineLevel="0" collapsed="false">
      <c r="A29" s="14" t="s">
        <v>1650</v>
      </c>
      <c r="B29" s="19" t="n">
        <f aca="false">Impresa_guida!$B$39+$B$27+$B$28</f>
        <v>254000</v>
      </c>
      <c r="C29" s="16" t="s">
        <v>140</v>
      </c>
      <c r="D29" s="20" t="n">
        <v>254000</v>
      </c>
      <c r="E29" s="21" t="str">
        <f aca="false">IF(ABS(B29-D29)&lt;=0.5,"OK","DIVERSO")</f>
        <v>OK</v>
      </c>
      <c r="F29" s="16" t="s">
        <v>1648</v>
      </c>
    </row>
    <row r="30" customFormat="false" ht="15" hidden="false" customHeight="true" outlineLevel="0" collapsed="false">
      <c r="A30" s="14" t="s">
        <v>1651</v>
      </c>
      <c r="B30" s="19" t="n">
        <f aca="false">Impresa_guida!$B$41-$B$29</f>
        <v>566000</v>
      </c>
      <c r="C30" s="16" t="s">
        <v>140</v>
      </c>
      <c r="D30" s="20" t="n">
        <v>566000</v>
      </c>
      <c r="E30" s="21" t="str">
        <f aca="false">IF(ABS(B30-D30)&lt;=0.5,"OK","DIVERSO")</f>
        <v>OK</v>
      </c>
      <c r="F30" s="16" t="s">
        <v>1648</v>
      </c>
    </row>
    <row r="31" customFormat="false" ht="15" hidden="false" customHeight="true" outlineLevel="0" collapsed="false">
      <c r="A31" s="14" t="s">
        <v>1652</v>
      </c>
      <c r="B31" s="19" t="n">
        <f aca="false">Impresa_guida!$B$39/Impresa_guida!$B$27</f>
        <v>3000</v>
      </c>
      <c r="C31" s="16" t="s">
        <v>144</v>
      </c>
      <c r="D31" s="20" t="n">
        <v>3000</v>
      </c>
      <c r="E31" s="21" t="str">
        <f aca="false">IF(ABS(B31-D31)&lt;=0.5,"OK","DIVERSO")</f>
        <v>OK</v>
      </c>
      <c r="F31" s="16" t="s">
        <v>1648</v>
      </c>
    </row>
    <row r="32" customFormat="false" ht="15" hidden="false" customHeight="true" outlineLevel="0" collapsed="false">
      <c r="A32" s="14" t="s">
        <v>1653</v>
      </c>
      <c r="B32" s="19" t="n">
        <f aca="false">Impresa_guida!$B$26/12</f>
        <v>1750</v>
      </c>
      <c r="C32" s="16" t="s">
        <v>144</v>
      </c>
      <c r="D32" s="20" t="n">
        <v>1750</v>
      </c>
      <c r="E32" s="21" t="str">
        <f aca="false">IF(ABS(B32-D32)&lt;=0.5,"OK","DIVERSO")</f>
        <v>OK</v>
      </c>
      <c r="F32" s="16" t="s">
        <v>1654</v>
      </c>
    </row>
    <row r="33" customFormat="false" ht="15" hidden="false" customHeight="true" outlineLevel="0" collapsed="false">
      <c r="A33" s="14" t="s">
        <v>1655</v>
      </c>
      <c r="B33" s="26" t="n">
        <f aca="false">Impresa_guida!$B$36/Impresa_guida!$B$34</f>
        <v>0.313644418192558</v>
      </c>
      <c r="C33" s="16" t="s">
        <v>319</v>
      </c>
      <c r="D33" s="27" t="n">
        <v>0.314</v>
      </c>
      <c r="E33" s="21" t="str">
        <f aca="false">IF(ABS(B33-D33)&lt;=0.0005,"OK","DIVERSO")</f>
        <v>OK</v>
      </c>
      <c r="F33" s="16" t="s">
        <v>1656</v>
      </c>
    </row>
    <row r="34" customFormat="false" ht="15" hidden="false" customHeight="true" outlineLevel="0" collapsed="false">
      <c r="A34" s="14" t="s">
        <v>1657</v>
      </c>
      <c r="B34" s="26" t="n">
        <f aca="false">Impresa_guida!$B$35/Impresa_guida!$B$34</f>
        <v>0.686355581807442</v>
      </c>
      <c r="C34" s="16" t="s">
        <v>319</v>
      </c>
      <c r="D34" s="27" t="n">
        <v>0.686</v>
      </c>
      <c r="E34" s="21" t="str">
        <f aca="false">IF(ABS(B34-D34)&lt;=0.0005,"OK","DIVERSO")</f>
        <v>OK</v>
      </c>
      <c r="F34" s="16" t="s">
        <v>1656</v>
      </c>
    </row>
    <row r="35" customFormat="false" ht="15" hidden="false" customHeight="true" outlineLevel="0" collapsed="false">
      <c r="A35" s="14" t="s">
        <v>1658</v>
      </c>
      <c r="B35" s="26" t="n">
        <f aca="false">Impresa_guida!$B$41/Impresa_guida!$B$34</f>
        <v>0.242173656231542</v>
      </c>
      <c r="C35" s="16" t="s">
        <v>319</v>
      </c>
      <c r="D35" s="27" t="n">
        <v>0.242</v>
      </c>
      <c r="E35" s="21" t="str">
        <f aca="false">IF(ABS(B35-D35)&lt;=0.0005,"OK","DIVERSO")</f>
        <v>OK</v>
      </c>
      <c r="F35" s="16" t="s">
        <v>1656</v>
      </c>
    </row>
    <row r="36" customFormat="false" ht="15" hidden="false" customHeight="true" outlineLevel="0" collapsed="false">
      <c r="A36" s="14" t="s">
        <v>1659</v>
      </c>
      <c r="B36" s="26" t="n">
        <f aca="false">Impresa_guida!$B$42/Impresa_guida!$B$34</f>
        <v>0.0714707619610159</v>
      </c>
      <c r="C36" s="16" t="s">
        <v>319</v>
      </c>
      <c r="D36" s="27" t="n">
        <v>0.071</v>
      </c>
      <c r="E36" s="21" t="str">
        <f aca="false">IF(ABS(B36-D36)&lt;=0.0005,"OK","DIVERSO")</f>
        <v>OK</v>
      </c>
      <c r="F36" s="16" t="s">
        <v>1656</v>
      </c>
    </row>
    <row r="37" customFormat="false" ht="15" hidden="false" customHeight="true" outlineLevel="0" collapsed="false"/>
    <row r="38" customFormat="false" ht="15" hidden="false" customHeight="true" outlineLevel="0" collapsed="false">
      <c r="A38" s="13" t="s">
        <v>1660</v>
      </c>
      <c r="B38" s="13"/>
      <c r="C38" s="13"/>
      <c r="D38" s="13"/>
      <c r="E38" s="13"/>
      <c r="F38" s="13"/>
    </row>
    <row r="39" customFormat="false" ht="15" hidden="false" customHeight="true" outlineLevel="0" collapsed="false">
      <c r="A39" s="22" t="s">
        <v>1661</v>
      </c>
      <c r="B39" s="22"/>
      <c r="C39" s="22"/>
      <c r="D39" s="22"/>
      <c r="E39" s="22"/>
      <c r="F39" s="22"/>
    </row>
    <row r="40" customFormat="false" ht="15" hidden="false" customHeight="true" outlineLevel="0" collapsed="false">
      <c r="A40" s="6" t="s">
        <v>116</v>
      </c>
      <c r="B40" s="6" t="s">
        <v>117</v>
      </c>
      <c r="C40" s="6" t="s">
        <v>118</v>
      </c>
      <c r="D40" s="6" t="s">
        <v>119</v>
      </c>
      <c r="E40" s="6" t="s">
        <v>120</v>
      </c>
      <c r="F40" s="6" t="s">
        <v>121</v>
      </c>
    </row>
    <row r="41" customFormat="false" ht="15" hidden="false" customHeight="true" outlineLevel="0" collapsed="false">
      <c r="A41" s="14" t="s">
        <v>1662</v>
      </c>
      <c r="B41" s="19" t="n">
        <f aca="false">Cap_05!$B$22</f>
        <v>36000</v>
      </c>
      <c r="C41" s="16" t="s">
        <v>140</v>
      </c>
      <c r="D41" s="17"/>
      <c r="E41" s="17"/>
      <c r="F41" s="16" t="s">
        <v>1663</v>
      </c>
    </row>
    <row r="42" customFormat="false" ht="15" hidden="false" customHeight="true" outlineLevel="0" collapsed="false">
      <c r="A42" s="14" t="s">
        <v>1664</v>
      </c>
      <c r="B42" s="19" t="n">
        <f aca="false">Cap_05!$B$23</f>
        <v>18000</v>
      </c>
      <c r="C42" s="16" t="s">
        <v>140</v>
      </c>
      <c r="D42" s="17"/>
      <c r="E42" s="17"/>
      <c r="F42" s="16" t="s">
        <v>1663</v>
      </c>
    </row>
    <row r="43" customFormat="false" ht="15" hidden="false" customHeight="true" outlineLevel="0" collapsed="false">
      <c r="A43" s="14" t="s">
        <v>1665</v>
      </c>
      <c r="B43" s="19" t="n">
        <f aca="false">Cap_05!$B$24</f>
        <v>66000</v>
      </c>
      <c r="C43" s="16" t="s">
        <v>140</v>
      </c>
      <c r="D43" s="17"/>
      <c r="E43" s="17"/>
      <c r="F43" s="16" t="s">
        <v>1663</v>
      </c>
    </row>
    <row r="44" customFormat="false" ht="15" hidden="false" customHeight="true" outlineLevel="0" collapsed="false">
      <c r="A44" s="14" t="s">
        <v>1666</v>
      </c>
      <c r="B44" s="26" t="n">
        <f aca="false">Cap_06!$B$109</f>
        <v>0.25</v>
      </c>
      <c r="C44" s="16" t="s">
        <v>319</v>
      </c>
      <c r="D44" s="17"/>
      <c r="E44" s="17"/>
      <c r="F44" s="16" t="s">
        <v>1663</v>
      </c>
    </row>
    <row r="45" customFormat="false" ht="15" hidden="false" customHeight="true" outlineLevel="0" collapsed="false">
      <c r="A45" s="14" t="s">
        <v>490</v>
      </c>
      <c r="B45" s="19" t="n">
        <f aca="false">$B$43+$B$41*(1-$B$44)+($B$42+$B$41*$B$44)</f>
        <v>120000</v>
      </c>
      <c r="C45" s="16" t="s">
        <v>140</v>
      </c>
      <c r="D45" s="20" t="n">
        <v>120000</v>
      </c>
      <c r="E45" s="21" t="str">
        <f aca="false">IF(ABS(B45-D45)&lt;=0.5,"OK","DIVERSO")</f>
        <v>OK</v>
      </c>
      <c r="F45" s="16" t="s">
        <v>1663</v>
      </c>
    </row>
    <row r="46" customFormat="false" ht="15" hidden="false" customHeight="true" outlineLevel="0" collapsed="false">
      <c r="A46" s="14" t="s">
        <v>1667</v>
      </c>
      <c r="B46" s="23" t="n">
        <f aca="false">$B$45/Impresa_guida!$B$37</f>
        <v>5</v>
      </c>
      <c r="C46" s="16" t="s">
        <v>146</v>
      </c>
      <c r="D46" s="24" t="n">
        <v>5</v>
      </c>
      <c r="E46" s="21" t="str">
        <f aca="false">IF(ABS(B46-D46)&lt;=0.005,"OK","DIVERSO")</f>
        <v>OK</v>
      </c>
      <c r="F46" s="16" t="s">
        <v>1663</v>
      </c>
    </row>
    <row r="47" customFormat="false" ht="15" hidden="false" customHeight="true" outlineLevel="0" collapsed="false">
      <c r="A47" s="14" t="s">
        <v>1668</v>
      </c>
      <c r="B47" s="23" t="n">
        <f aca="false">$B$46*Impresa_guida!$B$11</f>
        <v>7.5</v>
      </c>
      <c r="C47" s="16" t="s">
        <v>126</v>
      </c>
      <c r="D47" s="24" t="n">
        <v>7.5</v>
      </c>
      <c r="E47" s="21" t="str">
        <f aca="false">IF(ABS(B47-D47)&lt;=0.005,"OK","DIVERSO")</f>
        <v>OK</v>
      </c>
      <c r="F47" s="16" t="s">
        <v>1663</v>
      </c>
    </row>
    <row r="48" customFormat="false" ht="15" hidden="false" customHeight="true" outlineLevel="0" collapsed="false">
      <c r="A48" s="14" t="s">
        <v>1669</v>
      </c>
      <c r="B48" s="19" t="n">
        <f aca="false">$B$47*Impresa_guida!$B$8</f>
        <v>60000</v>
      </c>
      <c r="C48" s="16" t="s">
        <v>140</v>
      </c>
      <c r="D48" s="20" t="n">
        <v>60000</v>
      </c>
      <c r="E48" s="21" t="str">
        <f aca="false">IF(ABS(B48-D48)&lt;=0.5,"OK","DIVERSO")</f>
        <v>OK</v>
      </c>
      <c r="F48" s="16" t="s">
        <v>1663</v>
      </c>
    </row>
    <row r="49" customFormat="false" ht="15" hidden="false" customHeight="true" outlineLevel="0" collapsed="false">
      <c r="A49" s="14" t="s">
        <v>1670</v>
      </c>
      <c r="B49" s="23" t="n">
        <f aca="false">$B$46*Impresa_guida!$B$15</f>
        <v>2.5</v>
      </c>
      <c r="C49" s="16" t="s">
        <v>126</v>
      </c>
      <c r="D49" s="24" t="n">
        <v>2.5</v>
      </c>
      <c r="E49" s="21" t="str">
        <f aca="false">IF(ABS(B49-D49)&lt;=0.005,"OK","DIVERSO")</f>
        <v>OK</v>
      </c>
      <c r="F49" s="16" t="s">
        <v>1663</v>
      </c>
    </row>
    <row r="50" customFormat="false" ht="15" hidden="false" customHeight="true" outlineLevel="0" collapsed="false">
      <c r="A50" s="14" t="s">
        <v>1671</v>
      </c>
      <c r="B50" s="19" t="n">
        <f aca="false">$B$49*Impresa_guida!$B$12</f>
        <v>30000</v>
      </c>
      <c r="C50" s="16" t="s">
        <v>140</v>
      </c>
      <c r="D50" s="20" t="n">
        <v>30000</v>
      </c>
      <c r="E50" s="21" t="str">
        <f aca="false">IF(ABS(B50-D50)&lt;=0.5,"OK","DIVERSO")</f>
        <v>OK</v>
      </c>
      <c r="F50" s="16" t="s">
        <v>1663</v>
      </c>
    </row>
    <row r="51" customFormat="false" ht="15" hidden="false" customHeight="true" outlineLevel="0" collapsed="false">
      <c r="A51" s="14" t="s">
        <v>1672</v>
      </c>
      <c r="B51" s="23" t="n">
        <f aca="false">$B$46*Impresa_guida!$B$19</f>
        <v>15</v>
      </c>
      <c r="C51" s="16" t="s">
        <v>126</v>
      </c>
      <c r="D51" s="24" t="n">
        <v>15</v>
      </c>
      <c r="E51" s="21" t="str">
        <f aca="false">IF(ABS(B51-D51)&lt;=0.005,"OK","DIVERSO")</f>
        <v>OK</v>
      </c>
      <c r="F51" s="16" t="s">
        <v>1663</v>
      </c>
    </row>
    <row r="52" customFormat="false" ht="15" hidden="false" customHeight="true" outlineLevel="0" collapsed="false">
      <c r="A52" s="14" t="s">
        <v>1673</v>
      </c>
      <c r="B52" s="19" t="n">
        <f aca="false">$B$51*Impresa_guida!$B$16</f>
        <v>30000</v>
      </c>
      <c r="C52" s="16" t="s">
        <v>140</v>
      </c>
      <c r="D52" s="20" t="n">
        <v>30000</v>
      </c>
      <c r="E52" s="21" t="str">
        <f aca="false">IF(ABS(B52-D52)&lt;=0.5,"OK","DIVERSO")</f>
        <v>OK</v>
      </c>
      <c r="F52" s="16" t="s">
        <v>1663</v>
      </c>
    </row>
    <row r="53" customFormat="false" ht="15" hidden="false" customHeight="true" outlineLevel="0" collapsed="false"/>
    <row r="54" customFormat="false" ht="15" hidden="false" customHeight="true" outlineLevel="0" collapsed="false">
      <c r="A54" s="13" t="s">
        <v>1674</v>
      </c>
      <c r="B54" s="13"/>
      <c r="C54" s="13"/>
      <c r="D54" s="13"/>
      <c r="E54" s="13"/>
      <c r="F54" s="13"/>
    </row>
    <row r="55" customFormat="false" ht="30" hidden="false" customHeight="true" outlineLevel="0" collapsed="false">
      <c r="A55" s="22" t="s">
        <v>1675</v>
      </c>
      <c r="B55" s="22"/>
      <c r="C55" s="22"/>
      <c r="D55" s="22"/>
      <c r="E55" s="22"/>
      <c r="F55" s="22"/>
    </row>
    <row r="56" customFormat="false" ht="15" hidden="false" customHeight="true" outlineLevel="0" collapsed="false">
      <c r="A56" s="6" t="s">
        <v>116</v>
      </c>
      <c r="B56" s="6" t="s">
        <v>117</v>
      </c>
      <c r="C56" s="6" t="s">
        <v>118</v>
      </c>
      <c r="D56" s="6" t="s">
        <v>119</v>
      </c>
      <c r="E56" s="6" t="s">
        <v>120</v>
      </c>
      <c r="F56" s="6" t="s">
        <v>121</v>
      </c>
    </row>
    <row r="57" customFormat="false" ht="15" hidden="false" customHeight="true" outlineLevel="0" collapsed="false">
      <c r="A57" s="14" t="s">
        <v>828</v>
      </c>
      <c r="B57" s="19" t="n">
        <f aca="false">Cap_10!$B$131</f>
        <v>240000</v>
      </c>
      <c r="C57" s="16" t="s">
        <v>140</v>
      </c>
      <c r="D57" s="17"/>
      <c r="E57" s="17"/>
      <c r="F57" s="16" t="s">
        <v>1676</v>
      </c>
    </row>
    <row r="58" customFormat="false" ht="15" hidden="false" customHeight="true" outlineLevel="0" collapsed="false">
      <c r="A58" s="14" t="s">
        <v>894</v>
      </c>
      <c r="B58" s="19" t="n">
        <f aca="false">Cap_10!$B$134</f>
        <v>180000</v>
      </c>
      <c r="C58" s="16" t="s">
        <v>140</v>
      </c>
      <c r="D58" s="17"/>
      <c r="E58" s="17"/>
      <c r="F58" s="16" t="s">
        <v>1676</v>
      </c>
    </row>
    <row r="59" customFormat="false" ht="15" hidden="false" customHeight="true" outlineLevel="0" collapsed="false">
      <c r="A59" s="14" t="s">
        <v>897</v>
      </c>
      <c r="B59" s="19" t="n">
        <f aca="false">Cap_10!$B$137</f>
        <v>150000</v>
      </c>
      <c r="C59" s="16" t="s">
        <v>140</v>
      </c>
      <c r="D59" s="17"/>
      <c r="E59" s="17"/>
      <c r="F59" s="16" t="s">
        <v>1676</v>
      </c>
    </row>
    <row r="60" customFormat="false" ht="15" hidden="false" customHeight="true" outlineLevel="0" collapsed="false">
      <c r="A60" s="14" t="s">
        <v>1677</v>
      </c>
      <c r="B60" s="19" t="n">
        <f aca="false">Cap_10!$B$146</f>
        <v>12000</v>
      </c>
      <c r="C60" s="16" t="s">
        <v>384</v>
      </c>
      <c r="D60" s="17"/>
      <c r="E60" s="17"/>
      <c r="F60" s="16" t="s">
        <v>1676</v>
      </c>
    </row>
    <row r="61" customFormat="false" ht="15" hidden="false" customHeight="true" outlineLevel="0" collapsed="false">
      <c r="A61" s="14" t="s">
        <v>1678</v>
      </c>
      <c r="B61" s="19" t="n">
        <f aca="false">Cap_10!$B$147</f>
        <v>6000</v>
      </c>
      <c r="C61" s="16" t="s">
        <v>387</v>
      </c>
      <c r="D61" s="17"/>
      <c r="E61" s="17"/>
      <c r="F61" s="16" t="s">
        <v>1676</v>
      </c>
    </row>
    <row r="62" customFormat="false" ht="15" hidden="false" customHeight="true" outlineLevel="0" collapsed="false">
      <c r="A62" s="14" t="s">
        <v>1679</v>
      </c>
      <c r="B62" s="19" t="n">
        <f aca="false">Cap_10!$B$148</f>
        <v>7500</v>
      </c>
      <c r="C62" s="16" t="s">
        <v>144</v>
      </c>
      <c r="D62" s="17"/>
      <c r="E62" s="17"/>
      <c r="F62" s="16" t="s">
        <v>1676</v>
      </c>
    </row>
    <row r="63" customFormat="false" ht="15" hidden="false" customHeight="true" outlineLevel="0" collapsed="false">
      <c r="A63" s="14" t="s">
        <v>905</v>
      </c>
      <c r="B63" s="23" t="n">
        <f aca="false">$B$57/$B$60</f>
        <v>20</v>
      </c>
      <c r="C63" s="16" t="s">
        <v>842</v>
      </c>
      <c r="D63" s="24" t="n">
        <v>20</v>
      </c>
      <c r="E63" s="21" t="str">
        <f aca="false">IF(ABS(B63-D63)&lt;=0.005,"OK","DIVERSO")</f>
        <v>OK</v>
      </c>
      <c r="F63" s="16" t="s">
        <v>1676</v>
      </c>
    </row>
    <row r="64" customFormat="false" ht="15" hidden="false" customHeight="true" outlineLevel="0" collapsed="false">
      <c r="A64" s="14" t="s">
        <v>906</v>
      </c>
      <c r="B64" s="23" t="n">
        <f aca="false">$B$58/$B$61</f>
        <v>30</v>
      </c>
      <c r="C64" s="16" t="s">
        <v>907</v>
      </c>
      <c r="D64" s="24" t="n">
        <v>30</v>
      </c>
      <c r="E64" s="21" t="str">
        <f aca="false">IF(ABS(B64-D64)&lt;=0.005,"OK","DIVERSO")</f>
        <v>OK</v>
      </c>
      <c r="F64" s="16" t="s">
        <v>1676</v>
      </c>
    </row>
    <row r="65" customFormat="false" ht="15" hidden="false" customHeight="true" outlineLevel="0" collapsed="false">
      <c r="A65" s="14" t="s">
        <v>908</v>
      </c>
      <c r="B65" s="23" t="n">
        <f aca="false">$B$59/$B$62</f>
        <v>20</v>
      </c>
      <c r="C65" s="16" t="s">
        <v>146</v>
      </c>
      <c r="D65" s="24" t="n">
        <v>20</v>
      </c>
      <c r="E65" s="21" t="str">
        <f aca="false">IF(ABS(B65-D65)&lt;=0.005,"OK","DIVERSO")</f>
        <v>OK</v>
      </c>
      <c r="F65" s="16" t="s">
        <v>1676</v>
      </c>
    </row>
    <row r="66" customFormat="false" ht="15" hidden="false" customHeight="true" outlineLevel="0" collapsed="false">
      <c r="A66" s="14" t="s">
        <v>1680</v>
      </c>
      <c r="B66" s="19" t="n">
        <f aca="false">Impresa_guida!$B$41-($B$57+$B$58+$B$59)</f>
        <v>250000</v>
      </c>
      <c r="C66" s="16" t="s">
        <v>140</v>
      </c>
      <c r="D66" s="20" t="n">
        <v>250000</v>
      </c>
      <c r="E66" s="21" t="str">
        <f aca="false">IF(ABS(B66-D66)&lt;=0.5,"OK","DIVERSO")</f>
        <v>OK</v>
      </c>
      <c r="F66" s="16" t="s">
        <v>1676</v>
      </c>
    </row>
    <row r="67" customFormat="false" ht="15" hidden="false" customHeight="true" outlineLevel="0" collapsed="false">
      <c r="A67" s="14" t="s">
        <v>1681</v>
      </c>
      <c r="B67" s="19" t="n">
        <f aca="false">Cap_11!$B$28</f>
        <v>240000</v>
      </c>
      <c r="C67" s="16" t="s">
        <v>140</v>
      </c>
      <c r="D67" s="17"/>
      <c r="E67" s="17"/>
      <c r="F67" s="16" t="s">
        <v>1682</v>
      </c>
    </row>
    <row r="68" customFormat="false" ht="15" hidden="false" customHeight="true" outlineLevel="0" collapsed="false">
      <c r="A68" s="14" t="s">
        <v>1683</v>
      </c>
      <c r="B68" s="19" t="n">
        <f aca="false">Cap_11!$B$29</f>
        <v>84000</v>
      </c>
      <c r="C68" s="16" t="s">
        <v>140</v>
      </c>
      <c r="D68" s="17"/>
      <c r="E68" s="17"/>
      <c r="F68" s="16" t="s">
        <v>1682</v>
      </c>
    </row>
    <row r="69" customFormat="false" ht="15" hidden="false" customHeight="true" outlineLevel="0" collapsed="false">
      <c r="A69" s="14" t="s">
        <v>1684</v>
      </c>
      <c r="B69" s="19" t="n">
        <f aca="false">Cap_11!$B$30</f>
        <v>600</v>
      </c>
      <c r="C69" s="16" t="s">
        <v>384</v>
      </c>
      <c r="D69" s="17"/>
      <c r="E69" s="17"/>
      <c r="F69" s="16" t="s">
        <v>1682</v>
      </c>
    </row>
    <row r="70" customFormat="false" ht="15" hidden="false" customHeight="true" outlineLevel="0" collapsed="false">
      <c r="A70" s="14" t="s">
        <v>1685</v>
      </c>
      <c r="B70" s="19" t="n">
        <f aca="false">Cap_11!$B$31</f>
        <v>300</v>
      </c>
      <c r="C70" s="16" t="s">
        <v>387</v>
      </c>
      <c r="D70" s="17"/>
      <c r="E70" s="17"/>
      <c r="F70" s="16" t="s">
        <v>1682</v>
      </c>
    </row>
    <row r="71" customFormat="false" ht="15" hidden="false" customHeight="true" outlineLevel="0" collapsed="false">
      <c r="A71" s="14" t="s">
        <v>1686</v>
      </c>
      <c r="B71" s="19" t="n">
        <f aca="false">Cap_11!$B$32</f>
        <v>250</v>
      </c>
      <c r="C71" s="16" t="s">
        <v>144</v>
      </c>
      <c r="D71" s="17"/>
      <c r="E71" s="17"/>
      <c r="F71" s="16" t="s">
        <v>1682</v>
      </c>
    </row>
    <row r="72" customFormat="false" ht="15" hidden="false" customHeight="true" outlineLevel="0" collapsed="false">
      <c r="A72" s="14" t="s">
        <v>1687</v>
      </c>
      <c r="B72" s="19" t="n">
        <f aca="false">Cap_11!$B$36</f>
        <v>150</v>
      </c>
      <c r="C72" s="16" t="s">
        <v>384</v>
      </c>
      <c r="D72" s="17"/>
      <c r="E72" s="17"/>
      <c r="F72" s="16" t="s">
        <v>1682</v>
      </c>
    </row>
    <row r="73" customFormat="false" ht="15" hidden="false" customHeight="true" outlineLevel="0" collapsed="false">
      <c r="A73" s="14" t="s">
        <v>1688</v>
      </c>
      <c r="B73" s="19" t="n">
        <f aca="false">Cap_11!$B$37</f>
        <v>60</v>
      </c>
      <c r="C73" s="16" t="s">
        <v>387</v>
      </c>
      <c r="D73" s="17"/>
      <c r="E73" s="17"/>
      <c r="F73" s="16" t="s">
        <v>1682</v>
      </c>
    </row>
    <row r="74" customFormat="false" ht="15" hidden="false" customHeight="true" outlineLevel="0" collapsed="false">
      <c r="A74" s="14" t="s">
        <v>1689</v>
      </c>
      <c r="B74" s="19" t="n">
        <f aca="false">Cap_11!$B$38</f>
        <v>40</v>
      </c>
      <c r="C74" s="16" t="s">
        <v>144</v>
      </c>
      <c r="D74" s="17"/>
      <c r="E74" s="17"/>
      <c r="F74" s="16" t="s">
        <v>1682</v>
      </c>
    </row>
    <row r="75" customFormat="false" ht="15" hidden="false" customHeight="true" outlineLevel="0" collapsed="false">
      <c r="A75" s="14" t="s">
        <v>1690</v>
      </c>
      <c r="B75" s="19" t="n">
        <f aca="false">$B$69*$B$63+$B$70*$B$64+$B$71*$B$65</f>
        <v>26000</v>
      </c>
      <c r="C75" s="16" t="s">
        <v>140</v>
      </c>
      <c r="D75" s="20" t="n">
        <v>26000</v>
      </c>
      <c r="E75" s="21" t="str">
        <f aca="false">IF(ABS(B75-D75)&lt;=0.5,"OK","DIVERSO")</f>
        <v>OK</v>
      </c>
      <c r="F75" s="16" t="s">
        <v>1682</v>
      </c>
    </row>
    <row r="76" customFormat="false" ht="15" hidden="false" customHeight="true" outlineLevel="0" collapsed="false">
      <c r="A76" s="14" t="s">
        <v>1691</v>
      </c>
      <c r="B76" s="19" t="n">
        <f aca="false">$B$68-$B$75</f>
        <v>58000</v>
      </c>
      <c r="C76" s="16" t="s">
        <v>140</v>
      </c>
      <c r="D76" s="20" t="n">
        <v>58000</v>
      </c>
      <c r="E76" s="21" t="str">
        <f aca="false">IF(ABS(B76-D76)&lt;=0.5,"OK","DIVERSO")</f>
        <v>OK</v>
      </c>
      <c r="F76" s="16" t="s">
        <v>1682</v>
      </c>
    </row>
    <row r="77" customFormat="false" ht="15" hidden="false" customHeight="true" outlineLevel="0" collapsed="false">
      <c r="A77" s="14" t="s">
        <v>1692</v>
      </c>
      <c r="B77" s="26" t="n">
        <f aca="false">$B$76/$B$67</f>
        <v>0.241666666666667</v>
      </c>
      <c r="C77" s="16" t="s">
        <v>319</v>
      </c>
      <c r="D77" s="27" t="n">
        <v>0.242</v>
      </c>
      <c r="E77" s="21" t="str">
        <f aca="false">IF(ABS(B77-D77)&lt;=0.0005,"OK","DIVERSO")</f>
        <v>OK</v>
      </c>
      <c r="F77" s="16" t="s">
        <v>1682</v>
      </c>
    </row>
    <row r="78" customFormat="false" ht="15" hidden="false" customHeight="true" outlineLevel="0" collapsed="false">
      <c r="A78" s="14" t="s">
        <v>1693</v>
      </c>
      <c r="B78" s="19" t="n">
        <f aca="false">$B$72*$B$63+$B$73*$B$64+$B$74*$B$65</f>
        <v>5600</v>
      </c>
      <c r="C78" s="16" t="s">
        <v>140</v>
      </c>
      <c r="D78" s="20" t="n">
        <v>5600</v>
      </c>
      <c r="E78" s="21" t="str">
        <f aca="false">IF(ABS(B78-D78)&lt;=0.5,"OK","DIVERSO")</f>
        <v>OK</v>
      </c>
      <c r="F78" s="16" t="s">
        <v>1682</v>
      </c>
    </row>
    <row r="79" customFormat="false" ht="15" hidden="false" customHeight="true" outlineLevel="0" collapsed="false">
      <c r="A79" s="14" t="s">
        <v>1694</v>
      </c>
      <c r="B79" s="19" t="n">
        <f aca="false">$B$68-$B$78</f>
        <v>78400</v>
      </c>
      <c r="C79" s="16" t="s">
        <v>140</v>
      </c>
      <c r="D79" s="20" t="n">
        <v>78400</v>
      </c>
      <c r="E79" s="21" t="str">
        <f aca="false">IF(ABS(B79-D79)&lt;=0.5,"OK","DIVERSO")</f>
        <v>OK</v>
      </c>
      <c r="F79" s="16" t="s">
        <v>1682</v>
      </c>
    </row>
    <row r="80" customFormat="false" ht="15" hidden="false" customHeight="true" outlineLevel="0" collapsed="false">
      <c r="A80" s="14" t="s">
        <v>1695</v>
      </c>
      <c r="B80" s="26" t="n">
        <f aca="false">$B$79/$B$67</f>
        <v>0.326666666666667</v>
      </c>
      <c r="C80" s="16" t="s">
        <v>319</v>
      </c>
      <c r="D80" s="27" t="n">
        <v>0.327</v>
      </c>
      <c r="E80" s="21" t="str">
        <f aca="false">IF(ABS(B80-D80)&lt;=0.0005,"OK","DIVERSO")</f>
        <v>OK</v>
      </c>
      <c r="F80" s="16" t="s">
        <v>1682</v>
      </c>
    </row>
    <row r="81" customFormat="false" ht="15" hidden="false" customHeight="true" outlineLevel="0" collapsed="false"/>
    <row r="82" customFormat="false" ht="15" hidden="false" customHeight="true" outlineLevel="0" collapsed="false">
      <c r="A82" s="13" t="s">
        <v>1696</v>
      </c>
      <c r="B82" s="13"/>
      <c r="C82" s="13"/>
      <c r="D82" s="13"/>
      <c r="E82" s="13"/>
      <c r="F82" s="13"/>
    </row>
    <row r="83" customFormat="false" ht="30" hidden="false" customHeight="true" outlineLevel="0" collapsed="false">
      <c r="A83" s="22" t="s">
        <v>1697</v>
      </c>
      <c r="B83" s="22"/>
      <c r="C83" s="22"/>
      <c r="D83" s="22"/>
      <c r="E83" s="22"/>
      <c r="F83" s="22"/>
    </row>
    <row r="84" customFormat="false" ht="15" hidden="false" customHeight="true" outlineLevel="0" collapsed="false">
      <c r="A84" s="6" t="s">
        <v>116</v>
      </c>
      <c r="B84" s="6" t="s">
        <v>117</v>
      </c>
      <c r="C84" s="6" t="s">
        <v>118</v>
      </c>
      <c r="D84" s="6" t="s">
        <v>119</v>
      </c>
      <c r="E84" s="6" t="s">
        <v>120</v>
      </c>
      <c r="F84" s="6" t="s">
        <v>121</v>
      </c>
    </row>
    <row r="85" customFormat="false" ht="15" hidden="false" customHeight="true" outlineLevel="0" collapsed="false">
      <c r="A85" s="14" t="s">
        <v>1698</v>
      </c>
      <c r="B85" s="19" t="n">
        <f aca="false">Impresa_guida!$B$41-Impresa_guida!$B$24</f>
        <v>700000</v>
      </c>
      <c r="C85" s="16" t="s">
        <v>140</v>
      </c>
      <c r="D85" s="20" t="n">
        <v>700000</v>
      </c>
      <c r="E85" s="21" t="str">
        <f aca="false">IF(ABS(B85-D85)&lt;=0.5,"OK","DIVERSO")</f>
        <v>OK</v>
      </c>
      <c r="F85" s="16" t="s">
        <v>1699</v>
      </c>
    </row>
    <row r="86" customFormat="false" ht="15" hidden="false" customHeight="true" outlineLevel="0" collapsed="false">
      <c r="A86" s="14" t="s">
        <v>1700</v>
      </c>
      <c r="B86" s="19" t="n">
        <f aca="false">Impresa_guida!$B$31-Impresa_guida!$B$8*Impresa_guida!$B$10-$B$48-$B$85*Impresa_guida!$B$31/Impresa_guida!$B$34</f>
        <v>146303.603071471</v>
      </c>
      <c r="C86" s="16" t="s">
        <v>140</v>
      </c>
      <c r="D86" s="20" t="n">
        <v>146304</v>
      </c>
      <c r="E86" s="21" t="str">
        <f aca="false">IF(ABS(B86-D86)&lt;=0.5,"OK","DIVERSO")</f>
        <v>OK</v>
      </c>
      <c r="F86" s="16" t="s">
        <v>1699</v>
      </c>
    </row>
    <row r="87" customFormat="false" ht="15" hidden="false" customHeight="true" outlineLevel="0" collapsed="false">
      <c r="A87" s="14" t="s">
        <v>1701</v>
      </c>
      <c r="B87" s="19" t="n">
        <f aca="false">Impresa_guida!$B$32-Impresa_guida!$B$12*Impresa_guida!$B$14-$B$50-$B$85*Impresa_guida!$B$32/Impresa_guida!$B$34</f>
        <v>143188.422917897</v>
      </c>
      <c r="C87" s="16" t="s">
        <v>140</v>
      </c>
      <c r="D87" s="20" t="n">
        <v>143188</v>
      </c>
      <c r="E87" s="21" t="str">
        <f aca="false">IF(ABS(B87-D87)&lt;=0.5,"OK","DIVERSO")</f>
        <v>OK</v>
      </c>
      <c r="F87" s="16" t="s">
        <v>1699</v>
      </c>
    </row>
    <row r="88" customFormat="false" ht="15" hidden="false" customHeight="true" outlineLevel="0" collapsed="false">
      <c r="A88" s="14" t="s">
        <v>1702</v>
      </c>
      <c r="B88" s="19" t="n">
        <f aca="false">Impresa_guida!$B$33-Impresa_guida!$B$16*Impresa_guida!$B$18-$B$52-$B$85*Impresa_guida!$B$33/Impresa_guida!$B$34</f>
        <v>-47492.025989368</v>
      </c>
      <c r="C88" s="16" t="s">
        <v>140</v>
      </c>
      <c r="D88" s="20" t="n">
        <v>-47492</v>
      </c>
      <c r="E88" s="21" t="str">
        <f aca="false">IF(ABS(B88-D88)&lt;=0.5,"OK","DIVERSO")</f>
        <v>OK</v>
      </c>
      <c r="F88" s="16" t="s">
        <v>1699</v>
      </c>
    </row>
    <row r="89" customFormat="false" ht="15" hidden="false" customHeight="true" outlineLevel="0" collapsed="false">
      <c r="A89" s="14" t="s">
        <v>1703</v>
      </c>
      <c r="B89" s="19" t="n">
        <f aca="false">$B$86+$B$87+$B$88</f>
        <v>242000</v>
      </c>
      <c r="C89" s="16" t="s">
        <v>140</v>
      </c>
      <c r="D89" s="20" t="n">
        <v>242000</v>
      </c>
      <c r="E89" s="21" t="str">
        <f aca="false">IF(ABS(B89-D89)&lt;=0.5,"OK","DIVERSO")</f>
        <v>OK</v>
      </c>
      <c r="F89" s="16" t="s">
        <v>1699</v>
      </c>
    </row>
    <row r="90" customFormat="false" ht="15" hidden="false" customHeight="true" outlineLevel="0" collapsed="false">
      <c r="A90" s="14" t="s">
        <v>1704</v>
      </c>
      <c r="B90" s="23" t="n">
        <f aca="false">$B$88/Impresa_guida!$B$16</f>
        <v>-23.746012994684</v>
      </c>
      <c r="C90" s="16" t="s">
        <v>126</v>
      </c>
      <c r="D90" s="24" t="n">
        <v>-23.75</v>
      </c>
      <c r="E90" s="21" t="str">
        <f aca="false">IF(ABS(B90-D90)&lt;=0.005,"OK","DIVERSO")</f>
        <v>OK</v>
      </c>
      <c r="F90" s="16" t="s">
        <v>1699</v>
      </c>
    </row>
    <row r="91" customFormat="false" ht="15" hidden="false" customHeight="true" outlineLevel="0" collapsed="false">
      <c r="A91" s="14" t="s">
        <v>1705</v>
      </c>
      <c r="B91" s="19" t="n">
        <f aca="false">Impresa_guida!$B$42-Impresa_guida!$B$16*(Impresa_guida!$B$17-Impresa_guida!$B$18)</f>
        <v>140000</v>
      </c>
      <c r="C91" s="16" t="s">
        <v>140</v>
      </c>
      <c r="D91" s="20" t="n">
        <v>140000</v>
      </c>
      <c r="E91" s="21" t="str">
        <f aca="false">IF(ABS(B91-D91)&lt;=0.5,"OK","DIVERSO")</f>
        <v>OK</v>
      </c>
      <c r="F91" s="16" t="s">
        <v>1699</v>
      </c>
    </row>
    <row r="92" customFormat="false" ht="15" hidden="false" customHeight="true" outlineLevel="0" collapsed="false">
      <c r="A92" s="14" t="s">
        <v>1706</v>
      </c>
      <c r="B92" s="19" t="n">
        <f aca="false">$B$91+MIN(Impresa_guida!$B$16*Impresa_guida!$B$19,Impresa_guida!$B$38)*Impresa_guida!$B$27</f>
        <v>224000</v>
      </c>
      <c r="C92" s="16" t="s">
        <v>140</v>
      </c>
      <c r="D92" s="20" t="n">
        <v>224000</v>
      </c>
      <c r="E92" s="21" t="str">
        <f aca="false">IF(ABS(B92-D92)&lt;=0.5,"OK","DIVERSO")</f>
        <v>OK</v>
      </c>
      <c r="F92" s="16" t="s">
        <v>1699</v>
      </c>
    </row>
    <row r="93" customFormat="false" ht="15" hidden="false" customHeight="true" outlineLevel="0" collapsed="false"/>
    <row r="94" customFormat="false" ht="15" hidden="false" customHeight="true" outlineLevel="0" collapsed="false">
      <c r="A94" s="13" t="s">
        <v>1707</v>
      </c>
      <c r="B94" s="13"/>
      <c r="C94" s="13"/>
      <c r="D94" s="13"/>
      <c r="E94" s="13"/>
      <c r="F94" s="13"/>
    </row>
    <row r="95" customFormat="false" ht="30" hidden="false" customHeight="true" outlineLevel="0" collapsed="false">
      <c r="A95" s="22" t="s">
        <v>1708</v>
      </c>
      <c r="B95" s="22"/>
      <c r="C95" s="22"/>
      <c r="D95" s="22"/>
      <c r="E95" s="22"/>
      <c r="F95" s="22"/>
    </row>
    <row r="96" customFormat="false" ht="15" hidden="false" customHeight="true" outlineLevel="0" collapsed="false">
      <c r="A96" s="6" t="s">
        <v>116</v>
      </c>
      <c r="B96" s="6" t="s">
        <v>117</v>
      </c>
      <c r="C96" s="6" t="s">
        <v>118</v>
      </c>
      <c r="D96" s="6" t="s">
        <v>119</v>
      </c>
      <c r="E96" s="6" t="s">
        <v>120</v>
      </c>
      <c r="F96" s="6" t="s">
        <v>121</v>
      </c>
    </row>
    <row r="97" customFormat="false" ht="15" hidden="false" customHeight="true" outlineLevel="0" collapsed="false">
      <c r="A97" s="14" t="s">
        <v>1709</v>
      </c>
      <c r="B97" s="19" t="n">
        <f aca="false">Cap_12!$B$19</f>
        <v>11400</v>
      </c>
      <c r="C97" s="16" t="s">
        <v>123</v>
      </c>
      <c r="D97" s="17"/>
      <c r="E97" s="17"/>
      <c r="F97" s="16" t="s">
        <v>1710</v>
      </c>
    </row>
    <row r="98" customFormat="false" ht="15" hidden="false" customHeight="true" outlineLevel="0" collapsed="false">
      <c r="A98" s="14" t="s">
        <v>1711</v>
      </c>
      <c r="B98" s="19" t="n">
        <f aca="false">Cap_12!$B$20</f>
        <v>118</v>
      </c>
      <c r="C98" s="16" t="s">
        <v>126</v>
      </c>
      <c r="D98" s="17"/>
      <c r="E98" s="17"/>
      <c r="F98" s="16" t="s">
        <v>1710</v>
      </c>
    </row>
    <row r="99" customFormat="false" ht="15" hidden="false" customHeight="true" outlineLevel="0" collapsed="false">
      <c r="A99" s="14" t="s">
        <v>1712</v>
      </c>
      <c r="B99" s="19" t="n">
        <f aca="false">Cap_12!$B$21</f>
        <v>2100</v>
      </c>
      <c r="C99" s="16" t="s">
        <v>123</v>
      </c>
      <c r="D99" s="17"/>
      <c r="E99" s="17"/>
      <c r="F99" s="16" t="s">
        <v>1710</v>
      </c>
    </row>
    <row r="100" customFormat="false" ht="15" hidden="false" customHeight="true" outlineLevel="0" collapsed="false">
      <c r="A100" s="14" t="s">
        <v>1713</v>
      </c>
      <c r="B100" s="19" t="n">
        <f aca="false">Impresa_guida!$B$8*Impresa_guida!$B$9+$B$97*$B$98+$B$99*Impresa_guida!$B$17</f>
        <v>3392100</v>
      </c>
      <c r="C100" s="16" t="s">
        <v>140</v>
      </c>
      <c r="D100" s="20" t="n">
        <v>3392100</v>
      </c>
      <c r="E100" s="21" t="str">
        <f aca="false">IF(ABS(B100-D100)&lt;=0.5,"OK","DIVERSO")</f>
        <v>OK</v>
      </c>
      <c r="F100" s="16" t="s">
        <v>1710</v>
      </c>
    </row>
    <row r="101" customFormat="false" ht="15" hidden="false" customHeight="true" outlineLevel="0" collapsed="false">
      <c r="A101" s="14" t="s">
        <v>1019</v>
      </c>
      <c r="B101" s="19" t="n">
        <f aca="false">Impresa_guida!$B$8*(Impresa_guida!$B$9-Impresa_guida!$B$10)+$B$97*($B$98-Impresa_guida!$B$14)+$B$99*(Impresa_guida!$B$17-Impresa_guida!$B$18)</f>
        <v>1089900</v>
      </c>
      <c r="C101" s="16" t="s">
        <v>140</v>
      </c>
      <c r="D101" s="20" t="n">
        <v>1089900</v>
      </c>
      <c r="E101" s="21" t="str">
        <f aca="false">IF(ABS(B101-D101)&lt;=0.5,"OK","DIVERSO")</f>
        <v>OK</v>
      </c>
      <c r="F101" s="16" t="s">
        <v>1710</v>
      </c>
    </row>
    <row r="102" customFormat="false" ht="15" hidden="false" customHeight="true" outlineLevel="0" collapsed="false">
      <c r="A102" s="14" t="s">
        <v>1714</v>
      </c>
      <c r="B102" s="26" t="n">
        <f aca="false">$B$101/$B$100</f>
        <v>0.321305386044044</v>
      </c>
      <c r="C102" s="16" t="s">
        <v>319</v>
      </c>
      <c r="D102" s="27" t="n">
        <v>0.321</v>
      </c>
      <c r="E102" s="21" t="str">
        <f aca="false">IF(ABS(B102-D102)&lt;=0.0005,"OK","DIVERSO")</f>
        <v>OK</v>
      </c>
      <c r="F102" s="16" t="s">
        <v>1710</v>
      </c>
    </row>
    <row r="103" customFormat="false" ht="15" hidden="false" customHeight="true" outlineLevel="0" collapsed="false">
      <c r="A103" s="14" t="s">
        <v>1715</v>
      </c>
      <c r="B103" s="19" t="n">
        <f aca="false">Impresa_guida!$B$8*Impresa_guida!$B$11+$B$97*Impresa_guida!$B$15+$B$99*Impresa_guida!$B$19</f>
        <v>24000</v>
      </c>
      <c r="C103" s="16" t="s">
        <v>144</v>
      </c>
      <c r="D103" s="20" t="n">
        <v>24000</v>
      </c>
      <c r="E103" s="21" t="str">
        <f aca="false">IF(ABS(B103-D103)&lt;=0.5,"OK","DIVERSO")</f>
        <v>OK</v>
      </c>
      <c r="F103" s="16" t="s">
        <v>1710</v>
      </c>
    </row>
    <row r="104" customFormat="false" ht="15" hidden="false" customHeight="true" outlineLevel="0" collapsed="false">
      <c r="A104" s="14" t="s">
        <v>1716</v>
      </c>
      <c r="B104" s="19" t="n">
        <f aca="false">Impresa_guida!$B$40+MAX($B$103-Impresa_guida!$B$26,0)*Impresa_guida!$B$27</f>
        <v>820000</v>
      </c>
      <c r="C104" s="16" t="s">
        <v>140</v>
      </c>
      <c r="D104" s="20" t="n">
        <v>820000</v>
      </c>
      <c r="E104" s="21" t="str">
        <f aca="false">IF(ABS(B104-D104)&lt;=0.5,"OK","DIVERSO")</f>
        <v>OK</v>
      </c>
      <c r="F104" s="16" t="s">
        <v>1710</v>
      </c>
    </row>
    <row r="105" customFormat="false" ht="15" hidden="false" customHeight="true" outlineLevel="0" collapsed="false">
      <c r="A105" s="14" t="s">
        <v>1023</v>
      </c>
      <c r="B105" s="19" t="n">
        <f aca="false">$B$101-$B$104</f>
        <v>269900</v>
      </c>
      <c r="C105" s="16" t="s">
        <v>140</v>
      </c>
      <c r="D105" s="20" t="n">
        <v>269900</v>
      </c>
      <c r="E105" s="21" t="str">
        <f aca="false">IF(ABS(B105-D105)&lt;=0.5,"OK","DIVERSO")</f>
        <v>OK</v>
      </c>
      <c r="F105" s="16" t="s">
        <v>1710</v>
      </c>
    </row>
    <row r="106" customFormat="false" ht="15" hidden="false" customHeight="true" outlineLevel="0" collapsed="false"/>
    <row r="107" customFormat="false" ht="15" hidden="false" customHeight="true" outlineLevel="0" collapsed="false">
      <c r="A107" s="13" t="s">
        <v>1717</v>
      </c>
      <c r="B107" s="13"/>
      <c r="C107" s="13"/>
      <c r="D107" s="13"/>
      <c r="E107" s="13"/>
      <c r="F107" s="13"/>
    </row>
    <row r="108" customFormat="false" ht="30" hidden="false" customHeight="true" outlineLevel="0" collapsed="false">
      <c r="A108" s="22" t="s">
        <v>1718</v>
      </c>
      <c r="B108" s="22"/>
      <c r="C108" s="22"/>
      <c r="D108" s="22"/>
      <c r="E108" s="22"/>
      <c r="F108" s="22"/>
    </row>
    <row r="109" customFormat="false" ht="15" hidden="false" customHeight="true" outlineLevel="0" collapsed="false">
      <c r="A109" s="6" t="s">
        <v>116</v>
      </c>
      <c r="B109" s="6" t="s">
        <v>117</v>
      </c>
      <c r="C109" s="6" t="s">
        <v>118</v>
      </c>
      <c r="D109" s="6" t="s">
        <v>119</v>
      </c>
      <c r="E109" s="6" t="s">
        <v>120</v>
      </c>
      <c r="F109" s="6" t="s">
        <v>121</v>
      </c>
    </row>
    <row r="110" customFormat="false" ht="15" hidden="false" customHeight="true" outlineLevel="0" collapsed="false">
      <c r="A110" s="14" t="s">
        <v>1719</v>
      </c>
      <c r="B110" s="19" t="n">
        <f aca="false">Impresa_guida!$B$8+$B$97+$B$99</f>
        <v>21500</v>
      </c>
      <c r="C110" s="16" t="s">
        <v>123</v>
      </c>
      <c r="D110" s="20" t="n">
        <v>21500</v>
      </c>
      <c r="E110" s="21" t="str">
        <f aca="false">IF(ABS(B110-D110)&lt;=0.5,"OK","DIVERSO")</f>
        <v>OK</v>
      </c>
      <c r="F110" s="16" t="s">
        <v>1710</v>
      </c>
    </row>
    <row r="111" customFormat="false" ht="15" hidden="false" customHeight="true" outlineLevel="0" collapsed="false">
      <c r="A111" s="14" t="s">
        <v>1720</v>
      </c>
      <c r="B111" s="19" t="n">
        <f aca="false">Impresa_guida!$B$8+Impresa_guida!$B$12+Impresa_guida!$B$16</f>
        <v>22000</v>
      </c>
      <c r="C111" s="16" t="s">
        <v>123</v>
      </c>
      <c r="D111" s="20" t="n">
        <v>22000</v>
      </c>
      <c r="E111" s="21" t="str">
        <f aca="false">IF(ABS(B111-D111)&lt;=0.5,"OK","DIVERSO")</f>
        <v>OK</v>
      </c>
      <c r="F111" s="16" t="s">
        <v>1721</v>
      </c>
    </row>
    <row r="112" customFormat="false" ht="15" hidden="false" customHeight="true" outlineLevel="0" collapsed="false">
      <c r="A112" s="14" t="s">
        <v>1243</v>
      </c>
      <c r="B112" s="19" t="n">
        <f aca="false">($B$111-$B$110)*$B$101/$B$110</f>
        <v>25346.511627907</v>
      </c>
      <c r="C112" s="16" t="s">
        <v>140</v>
      </c>
      <c r="D112" s="20" t="n">
        <v>25347</v>
      </c>
      <c r="E112" s="21" t="str">
        <f aca="false">IF(ABS(B112-D112)&lt;=0.5,"OK","DIVERSO")</f>
        <v>OK</v>
      </c>
      <c r="F112" s="16" t="s">
        <v>1721</v>
      </c>
    </row>
    <row r="113" customFormat="false" ht="15" hidden="false" customHeight="true" outlineLevel="0" collapsed="false">
      <c r="A113" s="14" t="s">
        <v>1247</v>
      </c>
      <c r="B113" s="19" t="n">
        <f aca="false">(Impresa_guida!$B$8-$B$111*Impresa_guida!$B$8/$B$110)*(Impresa_guida!$B$9-Impresa_guida!$B$10)+(Impresa_guida!$B$12-$B$111*$B$97/$B$110)*($B$98-Impresa_guida!$B$14)+(Impresa_guida!$B$16-$B$111*$B$99/$B$110)*(Impresa_guida!$B$17-Impresa_guida!$B$18)</f>
        <v>-5246.51162790698</v>
      </c>
      <c r="C113" s="16" t="s">
        <v>140</v>
      </c>
      <c r="D113" s="20" t="n">
        <v>-5247</v>
      </c>
      <c r="E113" s="21" t="str">
        <f aca="false">IF(ABS(B113-D113)&lt;=0.5,"OK","DIVERSO")</f>
        <v>OK</v>
      </c>
      <c r="F113" s="16" t="s">
        <v>1721</v>
      </c>
    </row>
    <row r="114" customFormat="false" ht="15" hidden="false" customHeight="true" outlineLevel="0" collapsed="false">
      <c r="A114" s="14" t="s">
        <v>1722</v>
      </c>
      <c r="B114" s="19" t="n">
        <f aca="false">(Impresa_guida!$B$13-$B$98)*Impresa_guida!$B$12</f>
        <v>-48000</v>
      </c>
      <c r="C114" s="16" t="s">
        <v>140</v>
      </c>
      <c r="D114" s="20" t="n">
        <v>-48000</v>
      </c>
      <c r="E114" s="21" t="str">
        <f aca="false">IF(ABS(B114-D114)&lt;=0.5,"OK","DIVERSO")</f>
        <v>OK</v>
      </c>
      <c r="F114" s="16" t="s">
        <v>1721</v>
      </c>
    </row>
    <row r="115" customFormat="false" ht="15" hidden="false" customHeight="true" outlineLevel="0" collapsed="false">
      <c r="A115" s="14" t="s">
        <v>1723</v>
      </c>
      <c r="B115" s="19" t="n">
        <f aca="false">Impresa_guida!$B$36-$B$101</f>
        <v>-27900</v>
      </c>
      <c r="C115" s="16" t="s">
        <v>140</v>
      </c>
      <c r="D115" s="20" t="n">
        <v>-27900</v>
      </c>
      <c r="E115" s="21" t="str">
        <f aca="false">IF(ABS(B115-D115)&lt;=0.5,"OK","DIVERSO")</f>
        <v>OK</v>
      </c>
      <c r="F115" s="16" t="s">
        <v>1721</v>
      </c>
    </row>
    <row r="116" customFormat="false" ht="15" hidden="false" customHeight="true" outlineLevel="0" collapsed="false">
      <c r="A116" s="14" t="s">
        <v>1724</v>
      </c>
      <c r="B116" s="19" t="n">
        <f aca="false">$B$112+$B$113+$B$114-$B$115</f>
        <v>0</v>
      </c>
      <c r="C116" s="16" t="s">
        <v>140</v>
      </c>
      <c r="D116" s="20" t="n">
        <v>0</v>
      </c>
      <c r="E116" s="21" t="str">
        <f aca="false">IF(ABS(B116-D116)&lt;=0.5,"OK","DIVERSO")</f>
        <v>OK</v>
      </c>
      <c r="F116" s="16" t="s">
        <v>1721</v>
      </c>
    </row>
    <row r="117" customFormat="false" ht="15" hidden="false" customHeight="true" outlineLevel="0" collapsed="false">
      <c r="A117" s="14" t="s">
        <v>1725</v>
      </c>
      <c r="B117" s="19" t="n">
        <f aca="false">$B$98-Impresa_guida!$B$14</f>
        <v>42</v>
      </c>
      <c r="C117" s="16" t="s">
        <v>126</v>
      </c>
      <c r="D117" s="20" t="n">
        <v>42</v>
      </c>
      <c r="E117" s="21" t="str">
        <f aca="false">IF(ABS(B117-D117)&lt;=0.5,"OK","DIVERSO")</f>
        <v>OK</v>
      </c>
      <c r="F117" s="16" t="s">
        <v>1726</v>
      </c>
    </row>
    <row r="118" customFormat="false" ht="15" hidden="false" customHeight="true" outlineLevel="0" collapsed="false">
      <c r="A118" s="14" t="s">
        <v>1727</v>
      </c>
      <c r="B118" s="19" t="n">
        <f aca="false">Impresa_guida!$B$13-Impresa_guida!$B$14</f>
        <v>38</v>
      </c>
      <c r="C118" s="16" t="s">
        <v>126</v>
      </c>
      <c r="D118" s="20" t="n">
        <v>38</v>
      </c>
      <c r="E118" s="21" t="str">
        <f aca="false">IF(ABS(B118-D118)&lt;=0.5,"OK","DIVERSO")</f>
        <v>OK</v>
      </c>
      <c r="F118" s="16" t="s">
        <v>1726</v>
      </c>
    </row>
    <row r="119" customFormat="false" ht="15" hidden="false" customHeight="true" outlineLevel="0" collapsed="false">
      <c r="A119" s="14" t="s">
        <v>1728</v>
      </c>
      <c r="B119" s="19" t="n">
        <f aca="false">$B$97*$B$117</f>
        <v>478800</v>
      </c>
      <c r="C119" s="16" t="s">
        <v>140</v>
      </c>
      <c r="D119" s="20" t="n">
        <v>478800</v>
      </c>
      <c r="E119" s="21" t="str">
        <f aca="false">IF(ABS(B119-D119)&lt;=0.5,"OK","DIVERSO")</f>
        <v>OK</v>
      </c>
      <c r="F119" s="16" t="s">
        <v>1726</v>
      </c>
    </row>
    <row r="120" customFormat="false" ht="15" hidden="false" customHeight="true" outlineLevel="0" collapsed="false">
      <c r="A120" s="14" t="s">
        <v>1729</v>
      </c>
      <c r="B120" s="19" t="n">
        <f aca="false">$B$119/$B$118</f>
        <v>12600</v>
      </c>
      <c r="C120" s="16" t="s">
        <v>123</v>
      </c>
      <c r="D120" s="20" t="n">
        <v>12600</v>
      </c>
      <c r="E120" s="21" t="str">
        <f aca="false">IF(ABS(B120-D120)&lt;=0.5,"OK","DIVERSO")</f>
        <v>OK</v>
      </c>
      <c r="F120" s="16" t="s">
        <v>1726</v>
      </c>
    </row>
    <row r="121" customFormat="false" ht="15" hidden="false" customHeight="true" outlineLevel="0" collapsed="false">
      <c r="A121" s="14" t="s">
        <v>1730</v>
      </c>
      <c r="B121" s="19" t="n">
        <f aca="false">MAX($B$120-Impresa_guida!$B$12,0)*$B$118</f>
        <v>22800</v>
      </c>
      <c r="C121" s="16" t="s">
        <v>140</v>
      </c>
      <c r="D121" s="20" t="n">
        <v>22800</v>
      </c>
      <c r="E121" s="21" t="str">
        <f aca="false">IF(ABS(B121-D121)&lt;=0.5,"OK","DIVERSO")</f>
        <v>OK</v>
      </c>
      <c r="F121" s="16" t="s">
        <v>1726</v>
      </c>
    </row>
    <row r="122" customFormat="false" ht="15" hidden="false" customHeight="true" outlineLevel="0" collapsed="false">
      <c r="A122" s="14" t="s">
        <v>1731</v>
      </c>
      <c r="B122" s="19" t="n">
        <f aca="false">Impresa_guida!$B$12*$B$118</f>
        <v>456000</v>
      </c>
      <c r="C122" s="16" t="s">
        <v>140</v>
      </c>
      <c r="D122" s="20" t="n">
        <v>456000</v>
      </c>
      <c r="E122" s="21" t="str">
        <f aca="false">IF(ABS(B122-D122)&lt;=0.5,"OK","DIVERSO")</f>
        <v>OK</v>
      </c>
      <c r="F122" s="16" t="s">
        <v>1726</v>
      </c>
    </row>
    <row r="123" customFormat="false" ht="15" hidden="false" customHeight="true" outlineLevel="0" collapsed="false"/>
    <row r="124" customFormat="false" ht="15" hidden="false" customHeight="true" outlineLevel="0" collapsed="false">
      <c r="A124" s="13" t="s">
        <v>1732</v>
      </c>
      <c r="B124" s="13"/>
      <c r="C124" s="13"/>
      <c r="D124" s="13"/>
      <c r="E124" s="13"/>
      <c r="F124" s="13"/>
    </row>
    <row r="125" customFormat="false" ht="30" hidden="false" customHeight="true" outlineLevel="0" collapsed="false">
      <c r="A125" s="22" t="s">
        <v>1733</v>
      </c>
      <c r="B125" s="22"/>
      <c r="C125" s="22"/>
      <c r="D125" s="22"/>
      <c r="E125" s="22"/>
      <c r="F125" s="22"/>
    </row>
    <row r="126" customFormat="false" ht="15" hidden="false" customHeight="true" outlineLevel="0" collapsed="false">
      <c r="A126" s="6" t="s">
        <v>116</v>
      </c>
      <c r="B126" s="6" t="s">
        <v>117</v>
      </c>
      <c r="C126" s="6" t="s">
        <v>118</v>
      </c>
      <c r="D126" s="6" t="s">
        <v>119</v>
      </c>
      <c r="E126" s="6" t="s">
        <v>120</v>
      </c>
      <c r="F126" s="6" t="s">
        <v>121</v>
      </c>
    </row>
    <row r="127" customFormat="false" ht="15" hidden="false" customHeight="true" outlineLevel="0" collapsed="false">
      <c r="A127" s="14" t="s">
        <v>1734</v>
      </c>
      <c r="B127" s="23" t="n">
        <f aca="false">(Impresa_guida!$B$9-Impresa_guida!$B$10)/Impresa_guida!$B$11</f>
        <v>42</v>
      </c>
      <c r="C127" s="16" t="s">
        <v>146</v>
      </c>
      <c r="D127" s="24" t="n">
        <v>42</v>
      </c>
      <c r="E127" s="21" t="str">
        <f aca="false">IF(ABS(B127-D127)&lt;=0.005,"OK","DIVERSO")</f>
        <v>OK</v>
      </c>
      <c r="F127" s="16" t="s">
        <v>1735</v>
      </c>
    </row>
    <row r="128" customFormat="false" ht="15" hidden="false" customHeight="true" outlineLevel="0" collapsed="false">
      <c r="A128" s="14" t="s">
        <v>1736</v>
      </c>
      <c r="B128" s="23" t="n">
        <f aca="false">(Impresa_guida!$B$13-Impresa_guida!$B$14)/Impresa_guida!$B$15</f>
        <v>76</v>
      </c>
      <c r="C128" s="16" t="s">
        <v>146</v>
      </c>
      <c r="D128" s="24" t="n">
        <v>76</v>
      </c>
      <c r="E128" s="21" t="str">
        <f aca="false">IF(ABS(B128-D128)&lt;=0.005,"OK","DIVERSO")</f>
        <v>OK</v>
      </c>
      <c r="F128" s="16" t="s">
        <v>1735</v>
      </c>
    </row>
    <row r="129" customFormat="false" ht="15" hidden="false" customHeight="true" outlineLevel="0" collapsed="false">
      <c r="A129" s="14" t="s">
        <v>1737</v>
      </c>
      <c r="B129" s="23" t="n">
        <f aca="false">(Impresa_guida!$B$17-Impresa_guida!$B$18)/Impresa_guida!$B$19</f>
        <v>17</v>
      </c>
      <c r="C129" s="16" t="s">
        <v>146</v>
      </c>
      <c r="D129" s="24" t="n">
        <v>17</v>
      </c>
      <c r="E129" s="21" t="str">
        <f aca="false">IF(ABS(B129-D129)&lt;=0.005,"OK","DIVERSO")</f>
        <v>OK</v>
      </c>
      <c r="F129" s="16" t="s">
        <v>1735</v>
      </c>
    </row>
    <row r="130" customFormat="false" ht="15" hidden="false" customHeight="true" outlineLevel="0" collapsed="false">
      <c r="A130" s="14" t="s">
        <v>1738</v>
      </c>
      <c r="B130" s="19" t="n">
        <f aca="false">MIN(Impresa_guida!$B$12,ROUNDDOWN(Impresa_guida!$B$26/Impresa_guida!$B$15,0))</f>
        <v>12000</v>
      </c>
      <c r="C130" s="16" t="s">
        <v>123</v>
      </c>
      <c r="D130" s="20" t="n">
        <v>12000</v>
      </c>
      <c r="E130" s="21" t="str">
        <f aca="false">IF(ABS(B130-D130)&lt;=0.5,"OK","DIVERSO")</f>
        <v>OK</v>
      </c>
      <c r="F130" s="16" t="s">
        <v>1739</v>
      </c>
    </row>
    <row r="131" customFormat="false" ht="15" hidden="false" customHeight="true" outlineLevel="0" collapsed="false">
      <c r="A131" s="14" t="s">
        <v>1740</v>
      </c>
      <c r="B131" s="19" t="n">
        <f aca="false">MIN(Impresa_guida!$B$8,ROUNDDOWN((Impresa_guida!$B$26-$B$130*Impresa_guida!$B$15)/Impresa_guida!$B$11,0))</f>
        <v>8000</v>
      </c>
      <c r="C131" s="16" t="s">
        <v>123</v>
      </c>
      <c r="D131" s="20" t="n">
        <v>8000</v>
      </c>
      <c r="E131" s="21" t="str">
        <f aca="false">IF(ABS(B131-D131)&lt;=0.5,"OK","DIVERSO")</f>
        <v>OK</v>
      </c>
      <c r="F131" s="16" t="s">
        <v>1739</v>
      </c>
    </row>
    <row r="132" customFormat="false" ht="15" hidden="false" customHeight="true" outlineLevel="0" collapsed="false">
      <c r="A132" s="14" t="s">
        <v>1741</v>
      </c>
      <c r="B132" s="19" t="n">
        <f aca="false">MIN(Impresa_guida!$B$16,ROUNDDOWN((Impresa_guida!$B$26-$B$130*Impresa_guida!$B$15-$B$131*Impresa_guida!$B$11)/Impresa_guida!$B$19,0))</f>
        <v>1000</v>
      </c>
      <c r="C132" s="16" t="s">
        <v>123</v>
      </c>
      <c r="D132" s="20" t="n">
        <v>1000</v>
      </c>
      <c r="E132" s="21" t="str">
        <f aca="false">IF(ABS(B132-D132)&lt;=0.5,"OK","DIVERSO")</f>
        <v>OK</v>
      </c>
      <c r="F132" s="16" t="s">
        <v>1739</v>
      </c>
    </row>
    <row r="133" customFormat="false" ht="15" hidden="false" customHeight="true" outlineLevel="0" collapsed="false">
      <c r="A133" s="14" t="s">
        <v>1742</v>
      </c>
      <c r="B133" s="19" t="n">
        <f aca="false">$B$131*Impresa_guida!$B$11+$B$130*Impresa_guida!$B$15+$B$132*Impresa_guida!$B$19</f>
        <v>21000</v>
      </c>
      <c r="C133" s="16" t="s">
        <v>144</v>
      </c>
      <c r="D133" s="20" t="n">
        <v>21000</v>
      </c>
      <c r="E133" s="21" t="str">
        <f aca="false">IF(ABS(B133-D133)&lt;=0.5,"OK","DIVERSO")</f>
        <v>OK</v>
      </c>
      <c r="F133" s="16" t="s">
        <v>1739</v>
      </c>
    </row>
    <row r="134" customFormat="false" ht="15" hidden="false" customHeight="true" outlineLevel="0" collapsed="false">
      <c r="A134" s="14" t="s">
        <v>1743</v>
      </c>
      <c r="B134" s="19" t="n">
        <f aca="false">$B$131*Impresa_guida!$B$9+$B$130*Impresa_guida!$B$13+$B$132*Impresa_guida!$B$17</f>
        <v>3097000</v>
      </c>
      <c r="C134" s="16" t="s">
        <v>140</v>
      </c>
      <c r="D134" s="20" t="n">
        <v>3097000</v>
      </c>
      <c r="E134" s="21" t="str">
        <f aca="false">IF(ABS(B134-D134)&lt;=0.5,"OK","DIVERSO")</f>
        <v>OK</v>
      </c>
      <c r="F134" s="16" t="s">
        <v>1739</v>
      </c>
    </row>
    <row r="135" customFormat="false" ht="15" hidden="false" customHeight="true" outlineLevel="0" collapsed="false">
      <c r="A135" s="14" t="s">
        <v>1744</v>
      </c>
      <c r="B135" s="19" t="n">
        <f aca="false">$B$131*(Impresa_guida!$B$9-Impresa_guida!$B$10)+$B$130*(Impresa_guida!$B$13-Impresa_guida!$B$14)+$B$132*(Impresa_guida!$B$17-Impresa_guida!$B$18)</f>
        <v>1011000</v>
      </c>
      <c r="C135" s="16" t="s">
        <v>140</v>
      </c>
      <c r="D135" s="20" t="n">
        <v>1011000</v>
      </c>
      <c r="E135" s="21" t="str">
        <f aca="false">IF(ABS(B135-D135)&lt;=0.5,"OK","DIVERSO")</f>
        <v>OK</v>
      </c>
      <c r="F135" s="16" t="s">
        <v>1739</v>
      </c>
    </row>
    <row r="136" customFormat="false" ht="15" hidden="false" customHeight="true" outlineLevel="0" collapsed="false">
      <c r="A136" s="14" t="s">
        <v>1745</v>
      </c>
      <c r="B136" s="19" t="n">
        <f aca="false">Impresa_guida!$B$36-$B$135</f>
        <v>51000</v>
      </c>
      <c r="C136" s="16" t="s">
        <v>140</v>
      </c>
      <c r="D136" s="20" t="n">
        <v>51000</v>
      </c>
      <c r="E136" s="21" t="str">
        <f aca="false">IF(ABS(B136-D136)&lt;=0.5,"OK","DIVERSO")</f>
        <v>OK</v>
      </c>
      <c r="F136" s="16" t="s">
        <v>1735</v>
      </c>
    </row>
    <row r="137" customFormat="false" ht="15" hidden="false" customHeight="true" outlineLevel="0" collapsed="false">
      <c r="A137" s="14" t="s">
        <v>1746</v>
      </c>
      <c r="B137" s="19" t="n">
        <f aca="false">$B$135-Impresa_guida!$B$40</f>
        <v>275000</v>
      </c>
      <c r="C137" s="16" t="s">
        <v>140</v>
      </c>
      <c r="D137" s="20" t="n">
        <v>275000</v>
      </c>
      <c r="E137" s="21" t="str">
        <f aca="false">IF(ABS(B137-D137)&lt;=0.5,"OK","DIVERSO")</f>
        <v>OK</v>
      </c>
      <c r="F137" s="16" t="s">
        <v>1739</v>
      </c>
    </row>
    <row r="138" customFormat="false" ht="15" hidden="false" customHeight="true" outlineLevel="0" collapsed="false">
      <c r="A138" s="14" t="s">
        <v>1747</v>
      </c>
      <c r="B138" s="19" t="n">
        <f aca="false">Impresa_guida!$B$39-$B$136</f>
        <v>33000</v>
      </c>
      <c r="C138" s="16" t="s">
        <v>140</v>
      </c>
      <c r="D138" s="20" t="n">
        <v>33000</v>
      </c>
      <c r="E138" s="21" t="str">
        <f aca="false">IF(ABS(B138-D138)&lt;=0.5,"OK","DIVERSO")</f>
        <v>OK</v>
      </c>
      <c r="F138" s="16" t="s">
        <v>1735</v>
      </c>
    </row>
    <row r="139" customFormat="false" ht="15" hidden="false" customHeight="true" outlineLevel="0" collapsed="false">
      <c r="A139" s="14" t="s">
        <v>1748</v>
      </c>
      <c r="B139" s="19" t="n">
        <f aca="false">(Impresa_guida!$B$27-$B$129)*(Impresa_guida!$B$16-$B$132)*Impresa_guida!$B$19</f>
        <v>33000</v>
      </c>
      <c r="C139" s="16" t="s">
        <v>140</v>
      </c>
      <c r="D139" s="20" t="n">
        <v>33000</v>
      </c>
      <c r="E139" s="21" t="str">
        <f aca="false">IF(ABS(B139-D139)&lt;=0.5,"OK","DIVERSO")</f>
        <v>OK</v>
      </c>
      <c r="F139" s="16" t="s">
        <v>1735</v>
      </c>
    </row>
    <row r="140" customFormat="false" ht="15" hidden="false" customHeight="true" outlineLevel="0" collapsed="false">
      <c r="A140" s="14" t="s">
        <v>1749</v>
      </c>
      <c r="B140" s="19" t="n">
        <f aca="false">Impresa_guida!$B$8*(Impresa_guida!$B$9-Impresa_guida!$B$10)+Impresa_guida!$B$16*(Impresa_guida!$B$17-Impresa_guida!$B$18)+MIN(Impresa_guida!$B$12,ROUNDDOWN((Impresa_guida!$B$26-Impresa_guida!$B$8*Impresa_guida!$B$11-Impresa_guida!$B$16*Impresa_guida!$B$19)/Impresa_guida!$B$15,0))*(Impresa_guida!$B$13-Impresa_guida!$B$14)</f>
        <v>834000</v>
      </c>
      <c r="C140" s="16" t="s">
        <v>140</v>
      </c>
      <c r="D140" s="20" t="n">
        <v>834000</v>
      </c>
      <c r="E140" s="21" t="str">
        <f aca="false">IF(ABS(B140-D140)&lt;=0.5,"OK","DIVERSO")</f>
        <v>OK</v>
      </c>
      <c r="F140" s="16" t="s">
        <v>1739</v>
      </c>
    </row>
    <row r="141" customFormat="false" ht="15" hidden="false" customHeight="true" outlineLevel="0" collapsed="false">
      <c r="A141" s="14" t="s">
        <v>1750</v>
      </c>
      <c r="B141" s="19" t="n">
        <f aca="false">$B$135-$B$140</f>
        <v>177000</v>
      </c>
      <c r="C141" s="16" t="s">
        <v>140</v>
      </c>
      <c r="D141" s="20" t="n">
        <v>177000</v>
      </c>
      <c r="E141" s="21" t="str">
        <f aca="false">IF(ABS(B141-D141)&lt;=0.5,"OK","DIVERSO")</f>
        <v>OK</v>
      </c>
      <c r="F141" s="16" t="s">
        <v>1739</v>
      </c>
    </row>
    <row r="142" customFormat="false" ht="15" hidden="false" customHeight="true" outlineLevel="0" collapsed="false"/>
    <row r="143" customFormat="false" ht="15" hidden="false" customHeight="true" outlineLevel="0" collapsed="false">
      <c r="A143" s="13" t="s">
        <v>1751</v>
      </c>
      <c r="B143" s="13"/>
      <c r="C143" s="13"/>
      <c r="D143" s="13"/>
      <c r="E143" s="13"/>
      <c r="F143" s="13"/>
    </row>
    <row r="144" customFormat="false" ht="30" hidden="false" customHeight="true" outlineLevel="0" collapsed="false">
      <c r="A144" s="22" t="s">
        <v>1752</v>
      </c>
      <c r="B144" s="22"/>
      <c r="C144" s="22"/>
      <c r="D144" s="22"/>
      <c r="E144" s="22"/>
      <c r="F144" s="22"/>
    </row>
    <row r="145" customFormat="false" ht="15" hidden="false" customHeight="true" outlineLevel="0" collapsed="false">
      <c r="A145" s="6" t="s">
        <v>116</v>
      </c>
      <c r="B145" s="6" t="s">
        <v>117</v>
      </c>
      <c r="C145" s="6" t="s">
        <v>118</v>
      </c>
      <c r="D145" s="6" t="s">
        <v>119</v>
      </c>
      <c r="E145" s="6" t="s">
        <v>120</v>
      </c>
      <c r="F145" s="6" t="s">
        <v>121</v>
      </c>
    </row>
    <row r="146" customFormat="false" ht="15" hidden="false" customHeight="true" outlineLevel="0" collapsed="false">
      <c r="A146" s="14" t="s">
        <v>1753</v>
      </c>
      <c r="B146" s="15" t="n">
        <v>350000</v>
      </c>
      <c r="C146" s="16" t="s">
        <v>140</v>
      </c>
      <c r="D146" s="17"/>
      <c r="E146" s="17"/>
      <c r="F146" s="16" t="s">
        <v>1754</v>
      </c>
    </row>
    <row r="147" customFormat="false" ht="15" hidden="false" customHeight="true" outlineLevel="0" collapsed="false">
      <c r="A147" s="14" t="s">
        <v>1755</v>
      </c>
      <c r="B147" s="19" t="n">
        <f aca="false">Impresa_guida!$B$40*Impresa_guida!$B$34/Impresa_guida!$B$36</f>
        <v>2346606.40301318</v>
      </c>
      <c r="C147" s="16" t="s">
        <v>140</v>
      </c>
      <c r="D147" s="20" t="n">
        <v>2346606</v>
      </c>
      <c r="E147" s="21" t="str">
        <f aca="false">IF(ABS(B147-D147)&lt;=0.5,"OK","DIVERSO")</f>
        <v>OK</v>
      </c>
      <c r="F147" s="16" t="s">
        <v>1754</v>
      </c>
    </row>
    <row r="148" customFormat="false" ht="15" hidden="false" customHeight="true" outlineLevel="0" collapsed="false">
      <c r="A148" s="14" t="s">
        <v>1756</v>
      </c>
      <c r="B148" s="26" t="n">
        <f aca="false">1-$B$147/Impresa_guida!$B$34</f>
        <v>0.306967984934087</v>
      </c>
      <c r="C148" s="16" t="s">
        <v>319</v>
      </c>
      <c r="D148" s="27" t="n">
        <v>0.307</v>
      </c>
      <c r="E148" s="21" t="str">
        <f aca="false">IF(ABS(B148-D148)&lt;=0.0005,"OK","DIVERSO")</f>
        <v>OK</v>
      </c>
      <c r="F148" s="16" t="s">
        <v>1754</v>
      </c>
    </row>
    <row r="149" customFormat="false" ht="15" hidden="false" customHeight="true" outlineLevel="0" collapsed="false">
      <c r="A149" s="14" t="s">
        <v>1757</v>
      </c>
      <c r="B149" s="19" t="n">
        <f aca="false">Impresa_guida!$B$26*Impresa_guida!$B$34/Impresa_guida!$B$37</f>
        <v>2962750</v>
      </c>
      <c r="C149" s="16" t="s">
        <v>140</v>
      </c>
      <c r="D149" s="20" t="n">
        <v>2962750</v>
      </c>
      <c r="E149" s="21" t="str">
        <f aca="false">IF(ABS(B149-D149)&lt;=0.5,"OK","DIVERSO")</f>
        <v>OK</v>
      </c>
      <c r="F149" s="16" t="s">
        <v>1754</v>
      </c>
    </row>
    <row r="150" customFormat="false" ht="15" hidden="false" customHeight="true" outlineLevel="0" collapsed="false">
      <c r="A150" s="14" t="s">
        <v>1758</v>
      </c>
      <c r="B150" s="23" t="n">
        <f aca="false">(Impresa_guida!$B$36-Impresa_guida!$B$27*Impresa_guida!$B$37)/Impresa_guida!$B$42</f>
        <v>1.61157024793388</v>
      </c>
      <c r="C150" s="16" t="s">
        <v>518</v>
      </c>
      <c r="D150" s="24" t="n">
        <v>1.61</v>
      </c>
      <c r="E150" s="21" t="str">
        <f aca="false">IF(ABS(B150-D150)&lt;=0.005,"OK","DIVERSO")</f>
        <v>OK</v>
      </c>
      <c r="F150" s="16" t="s">
        <v>1754</v>
      </c>
    </row>
    <row r="151" customFormat="false" ht="15" hidden="false" customHeight="true" outlineLevel="0" collapsed="false">
      <c r="A151" s="14" t="s">
        <v>1759</v>
      </c>
      <c r="B151" s="19" t="n">
        <f aca="false">Impresa_guida!$B$40*$B$134/$B$135</f>
        <v>2254591.49357072</v>
      </c>
      <c r="C151" s="16" t="s">
        <v>140</v>
      </c>
      <c r="D151" s="20" t="n">
        <v>2254591</v>
      </c>
      <c r="E151" s="21" t="str">
        <f aca="false">IF(ABS(B151-D151)&lt;=0.5,"OK","DIVERSO")</f>
        <v>OK</v>
      </c>
      <c r="F151" s="16" t="s">
        <v>1754</v>
      </c>
    </row>
    <row r="152" customFormat="false" ht="15" hidden="false" customHeight="true" outlineLevel="0" collapsed="false">
      <c r="A152" s="14" t="s">
        <v>1760</v>
      </c>
      <c r="B152" s="26" t="n">
        <f aca="false">1-$B$151/$B$134</f>
        <v>0.272007912957468</v>
      </c>
      <c r="C152" s="16" t="s">
        <v>319</v>
      </c>
      <c r="D152" s="27" t="n">
        <v>0.272</v>
      </c>
      <c r="E152" s="21" t="str">
        <f aca="false">IF(ABS(B152-D152)&lt;=0.0005,"OK","DIVERSO")</f>
        <v>OK</v>
      </c>
      <c r="F152" s="16" t="s">
        <v>1754</v>
      </c>
    </row>
    <row r="153" customFormat="false" ht="15" hidden="false" customHeight="true" outlineLevel="0" collapsed="false">
      <c r="A153" s="14" t="s">
        <v>1761</v>
      </c>
      <c r="B153" s="23" t="n">
        <f aca="false">$B$135/$B$137</f>
        <v>3.67636363636364</v>
      </c>
      <c r="C153" s="16" t="s">
        <v>518</v>
      </c>
      <c r="D153" s="24" t="n">
        <v>3.68</v>
      </c>
      <c r="E153" s="21" t="str">
        <f aca="false">IF(ABS(B153-D153)&lt;=0.005,"OK","DIVERSO")</f>
        <v>OK</v>
      </c>
      <c r="F153" s="16" t="s">
        <v>1754</v>
      </c>
    </row>
    <row r="154" customFormat="false" ht="15" hidden="false" customHeight="true" outlineLevel="0" collapsed="false">
      <c r="A154" s="14" t="s">
        <v>1762</v>
      </c>
      <c r="B154" s="23" t="n">
        <f aca="false">($B$135-Impresa_guida!$B$27*$B$133)/$B$137</f>
        <v>1.53818181818182</v>
      </c>
      <c r="C154" s="16" t="s">
        <v>518</v>
      </c>
      <c r="D154" s="24" t="n">
        <v>1.54</v>
      </c>
      <c r="E154" s="21" t="str">
        <f aca="false">IF(ABS(B154-D154)&lt;=0.005,"OK","DIVERSO")</f>
        <v>OK</v>
      </c>
      <c r="F154" s="16" t="s">
        <v>1754</v>
      </c>
    </row>
    <row r="155" customFormat="false" ht="15" hidden="false" customHeight="true" outlineLevel="0" collapsed="false">
      <c r="A155" s="14" t="s">
        <v>1763</v>
      </c>
      <c r="B155" s="19" t="n">
        <f aca="false">($B$146+Impresa_guida!$B$40-Impresa_guida!$B$27*Impresa_guida!$B$26)/(Impresa_guida!$B$36/Impresa_guida!$B$34-Impresa_guida!$B$27*Impresa_guida!$B$37/Impresa_guida!$B$34)</f>
        <v>4323661.53846154</v>
      </c>
      <c r="C155" s="16" t="s">
        <v>140</v>
      </c>
      <c r="D155" s="20" t="n">
        <v>4323662</v>
      </c>
      <c r="E155" s="21" t="str">
        <f aca="false">IF(ABS(B155-D155)&lt;=0.5,"OK","DIVERSO")</f>
        <v>OK</v>
      </c>
      <c r="F155" s="16" t="s">
        <v>1754</v>
      </c>
    </row>
    <row r="156" customFormat="false" ht="15" hidden="false" customHeight="true" outlineLevel="0" collapsed="false">
      <c r="A156" s="14" t="s">
        <v>1764</v>
      </c>
      <c r="B156" s="19" t="n">
        <f aca="false">Impresa_guida!$B$27*($B$155*Impresa_guida!$B$37/Impresa_guida!$B$34-Impresa_guida!$B$26)</f>
        <v>270092.307692308</v>
      </c>
      <c r="C156" s="16" t="s">
        <v>140</v>
      </c>
      <c r="D156" s="20" t="n">
        <v>270092</v>
      </c>
      <c r="E156" s="21" t="str">
        <f aca="false">IF(ABS(B156-D156)&lt;=0.5,"OK","DIVERSO")</f>
        <v>OK</v>
      </c>
      <c r="F156" s="16" t="s">
        <v>1754</v>
      </c>
    </row>
    <row r="157" customFormat="false" ht="15" hidden="false" customHeight="true" outlineLevel="0" collapsed="false">
      <c r="A157" s="14" t="s">
        <v>1765</v>
      </c>
      <c r="B157" s="19" t="n">
        <f aca="false">$B$155*Impresa_guida!$B$36/Impresa_guida!$B$34</f>
        <v>1356092.30769231</v>
      </c>
      <c r="C157" s="16" t="s">
        <v>140</v>
      </c>
      <c r="D157" s="20" t="n">
        <v>1356092</v>
      </c>
      <c r="E157" s="21" t="str">
        <f aca="false">IF(ABS(B157-D157)&lt;=0.5,"OK","DIVERSO")</f>
        <v>OK</v>
      </c>
      <c r="F157" s="16" t="s">
        <v>1754</v>
      </c>
    </row>
    <row r="158" customFormat="false" ht="15" hidden="false" customHeight="true" outlineLevel="0" collapsed="false">
      <c r="A158" s="14" t="s">
        <v>1766</v>
      </c>
      <c r="B158" s="19" t="n">
        <f aca="false">$B$157-Impresa_guida!$B$40-$B$156</f>
        <v>350000</v>
      </c>
      <c r="C158" s="16" t="s">
        <v>140</v>
      </c>
      <c r="D158" s="20" t="n">
        <v>350000</v>
      </c>
      <c r="E158" s="21" t="str">
        <f aca="false">IF(ABS(B158-D158)&lt;=0.5,"OK","DIVERSO")</f>
        <v>OK</v>
      </c>
      <c r="F158" s="16" t="s">
        <v>1754</v>
      </c>
    </row>
    <row r="159" customFormat="false" ht="15" hidden="false" customHeight="true" outlineLevel="0" collapsed="false"/>
    <row r="160" customFormat="false" ht="15" hidden="false" customHeight="true" outlineLevel="0" collapsed="false">
      <c r="A160" s="13" t="s">
        <v>1767</v>
      </c>
      <c r="B160" s="13"/>
      <c r="C160" s="13"/>
      <c r="D160" s="13"/>
      <c r="E160" s="13"/>
      <c r="F160" s="13"/>
    </row>
    <row r="161" customFormat="false" ht="30" hidden="false" customHeight="true" outlineLevel="0" collapsed="false">
      <c r="A161" s="22" t="s">
        <v>1768</v>
      </c>
      <c r="B161" s="22"/>
      <c r="C161" s="22"/>
      <c r="D161" s="22"/>
      <c r="E161" s="22"/>
      <c r="F161" s="22"/>
    </row>
    <row r="162" customFormat="false" ht="15" hidden="false" customHeight="true" outlineLevel="0" collapsed="false">
      <c r="A162" s="6" t="s">
        <v>116</v>
      </c>
      <c r="B162" s="6" t="s">
        <v>117</v>
      </c>
      <c r="C162" s="6" t="s">
        <v>118</v>
      </c>
      <c r="D162" s="6" t="s">
        <v>119</v>
      </c>
      <c r="E162" s="6" t="s">
        <v>120</v>
      </c>
      <c r="F162" s="6" t="s">
        <v>121</v>
      </c>
    </row>
    <row r="163" customFormat="false" ht="15" hidden="false" customHeight="true" outlineLevel="0" collapsed="false">
      <c r="A163" s="14" t="s">
        <v>1769</v>
      </c>
      <c r="B163" s="23" t="n">
        <f aca="false">Impresa_guida!$B$36/Impresa_guida!$B$37</f>
        <v>44.25</v>
      </c>
      <c r="C163" s="16" t="s">
        <v>146</v>
      </c>
      <c r="D163" s="24" t="n">
        <v>44.25</v>
      </c>
      <c r="E163" s="21" t="str">
        <f aca="false">IF(ABS(B163-D163)&lt;=0.005,"OK","DIVERSO")</f>
        <v>OK</v>
      </c>
      <c r="F163" s="16" t="s">
        <v>1770</v>
      </c>
    </row>
    <row r="164" customFormat="false" ht="15" hidden="false" customHeight="true" outlineLevel="0" collapsed="false">
      <c r="A164" s="14" t="s">
        <v>1771</v>
      </c>
      <c r="B164" s="26" t="n">
        <f aca="false">Impresa_guida!$B$37/Impresa_guida!$B$26</f>
        <v>1.14285714285714</v>
      </c>
      <c r="C164" s="16" t="s">
        <v>319</v>
      </c>
      <c r="D164" s="27" t="n">
        <v>1.143</v>
      </c>
      <c r="E164" s="21" t="str">
        <f aca="false">IF(ABS(B164-D164)&lt;=0.0005,"OK","DIVERSO")</f>
        <v>OK</v>
      </c>
      <c r="F164" s="16" t="s">
        <v>1770</v>
      </c>
    </row>
    <row r="165" customFormat="false" ht="15" hidden="false" customHeight="true" outlineLevel="0" collapsed="false">
      <c r="A165" s="14" t="s">
        <v>1772</v>
      </c>
      <c r="B165" s="23" t="n">
        <f aca="false">($B$127+$B$128+$B$129)/3</f>
        <v>45</v>
      </c>
      <c r="C165" s="16" t="s">
        <v>146</v>
      </c>
      <c r="D165" s="24" t="n">
        <v>45</v>
      </c>
      <c r="E165" s="21" t="str">
        <f aca="false">IF(ABS(B165-D165)&lt;=0.005,"OK","DIVERSO")</f>
        <v>OK</v>
      </c>
      <c r="F165" s="16" t="s">
        <v>1770</v>
      </c>
    </row>
    <row r="166" customFormat="false" ht="15" hidden="false" customHeight="true" outlineLevel="0" collapsed="false">
      <c r="A166" s="14" t="s">
        <v>1773</v>
      </c>
      <c r="B166" s="19" t="n">
        <f aca="false">$B$165*Impresa_guida!$B$37-Impresa_guida!$B$36</f>
        <v>18000</v>
      </c>
      <c r="C166" s="16" t="s">
        <v>140</v>
      </c>
      <c r="D166" s="20" t="n">
        <v>18000</v>
      </c>
      <c r="E166" s="21" t="str">
        <f aca="false">IF(ABS(B166-D166)&lt;=0.5,"OK","DIVERSO")</f>
        <v>OK</v>
      </c>
      <c r="F166" s="16" t="s">
        <v>1770</v>
      </c>
    </row>
    <row r="167" customFormat="false" ht="15" hidden="false" customHeight="true" outlineLevel="0" collapsed="false">
      <c r="A167" s="14" t="s">
        <v>1774</v>
      </c>
      <c r="B167" s="26" t="n">
        <f aca="false">(Impresa_guida!$B$42-$B$105)/$B$105</f>
        <v>-0.103371619118192</v>
      </c>
      <c r="C167" s="16" t="s">
        <v>319</v>
      </c>
      <c r="D167" s="27" t="n">
        <v>-0.103</v>
      </c>
      <c r="E167" s="21" t="str">
        <f aca="false">IF(ABS(B167-D167)&lt;=0.0005,"OK","DIVERSO")</f>
        <v>OK</v>
      </c>
      <c r="F167" s="16" t="s">
        <v>1770</v>
      </c>
    </row>
    <row r="168" customFormat="false" ht="15" hidden="false" customHeight="true" outlineLevel="0" collapsed="false"/>
    <row r="169" customFormat="false" ht="15" hidden="false" customHeight="true" outlineLevel="0" collapsed="false">
      <c r="A169" s="13" t="s">
        <v>1775</v>
      </c>
      <c r="B169" s="13"/>
      <c r="C169" s="13"/>
      <c r="D169" s="13"/>
      <c r="E169" s="13"/>
      <c r="F169" s="13"/>
    </row>
    <row r="170" customFormat="false" ht="30" hidden="false" customHeight="true" outlineLevel="0" collapsed="false">
      <c r="A170" s="22" t="s">
        <v>1776</v>
      </c>
      <c r="B170" s="22"/>
      <c r="C170" s="22"/>
      <c r="D170" s="22"/>
      <c r="E170" s="22"/>
      <c r="F170" s="22"/>
    </row>
    <row r="171" customFormat="false" ht="15" hidden="false" customHeight="true" outlineLevel="0" collapsed="false">
      <c r="A171" s="6" t="s">
        <v>116</v>
      </c>
      <c r="B171" s="6" t="s">
        <v>117</v>
      </c>
      <c r="C171" s="6" t="s">
        <v>118</v>
      </c>
      <c r="D171" s="6" t="s">
        <v>119</v>
      </c>
      <c r="E171" s="6" t="s">
        <v>120</v>
      </c>
      <c r="F171" s="6" t="s">
        <v>121</v>
      </c>
    </row>
    <row r="172" customFormat="false" ht="15" hidden="false" customHeight="true" outlineLevel="0" collapsed="false">
      <c r="A172" s="14" t="s">
        <v>1777</v>
      </c>
      <c r="B172" s="19" t="n">
        <f aca="false">Cap_13!$B$64</f>
        <v>600</v>
      </c>
      <c r="C172" s="16" t="s">
        <v>123</v>
      </c>
      <c r="D172" s="17"/>
      <c r="E172" s="17"/>
      <c r="F172" s="16" t="s">
        <v>1016</v>
      </c>
    </row>
    <row r="173" customFormat="false" ht="15" hidden="false" customHeight="true" outlineLevel="0" collapsed="false">
      <c r="A173" s="14" t="s">
        <v>1778</v>
      </c>
      <c r="B173" s="19" t="n">
        <f aca="false">Cap_13!$B$65</f>
        <v>1000</v>
      </c>
      <c r="C173" s="16" t="s">
        <v>123</v>
      </c>
      <c r="D173" s="17"/>
      <c r="E173" s="17"/>
      <c r="F173" s="16" t="s">
        <v>1016</v>
      </c>
    </row>
    <row r="174" customFormat="false" ht="15" hidden="false" customHeight="true" outlineLevel="0" collapsed="false">
      <c r="A174" s="14" t="s">
        <v>1779</v>
      </c>
      <c r="B174" s="19" t="n">
        <f aca="false">Cap_13!$B$66</f>
        <v>200</v>
      </c>
      <c r="C174" s="16" t="s">
        <v>123</v>
      </c>
      <c r="D174" s="17"/>
      <c r="E174" s="17"/>
      <c r="F174" s="16" t="s">
        <v>1016</v>
      </c>
    </row>
    <row r="175" customFormat="false" ht="15" hidden="false" customHeight="true" outlineLevel="0" collapsed="false">
      <c r="A175" s="14" t="s">
        <v>1780</v>
      </c>
      <c r="B175" s="19" t="n">
        <f aca="false">Cap_14!$B$90-$B$173</f>
        <v>100</v>
      </c>
      <c r="C175" s="16" t="s">
        <v>123</v>
      </c>
      <c r="D175" s="17"/>
      <c r="E175" s="17"/>
      <c r="F175" s="16" t="s">
        <v>1232</v>
      </c>
    </row>
    <row r="176" customFormat="false" ht="15" hidden="false" customHeight="true" outlineLevel="0" collapsed="false">
      <c r="A176" s="14" t="s">
        <v>1781</v>
      </c>
      <c r="B176" s="19" t="n">
        <f aca="false">Cap_14!$B$91-$B$174</f>
        <v>-30</v>
      </c>
      <c r="C176" s="16" t="s">
        <v>123</v>
      </c>
      <c r="D176" s="17"/>
      <c r="E176" s="17"/>
      <c r="F176" s="16" t="s">
        <v>1232</v>
      </c>
    </row>
    <row r="177" customFormat="false" ht="15" hidden="false" customHeight="true" outlineLevel="0" collapsed="false">
      <c r="A177" s="14" t="s">
        <v>1782</v>
      </c>
      <c r="B177" s="19" t="n">
        <f aca="false">Cap_14!$B$132</f>
        <v>1947</v>
      </c>
      <c r="C177" s="16" t="s">
        <v>144</v>
      </c>
      <c r="D177" s="17"/>
      <c r="E177" s="17"/>
      <c r="F177" s="16" t="s">
        <v>1232</v>
      </c>
    </row>
    <row r="178" customFormat="false" ht="15" hidden="false" customHeight="true" outlineLevel="0" collapsed="false">
      <c r="A178" s="14" t="s">
        <v>1783</v>
      </c>
      <c r="B178" s="19" t="n">
        <f aca="false">Cap_14!$B$97</f>
        <v>62884</v>
      </c>
      <c r="C178" s="16" t="s">
        <v>140</v>
      </c>
      <c r="D178" s="17"/>
      <c r="E178" s="17"/>
      <c r="F178" s="16" t="s">
        <v>1232</v>
      </c>
    </row>
    <row r="179" customFormat="false" ht="15" hidden="false" customHeight="true" outlineLevel="0" collapsed="false">
      <c r="A179" s="14" t="s">
        <v>1784</v>
      </c>
      <c r="B179" s="19" t="n">
        <f aca="false">Cap_13!$B$75</f>
        <v>62200</v>
      </c>
      <c r="C179" s="16" t="s">
        <v>140</v>
      </c>
      <c r="D179" s="17"/>
      <c r="E179" s="17"/>
      <c r="F179" s="16" t="s">
        <v>1232</v>
      </c>
    </row>
    <row r="180" customFormat="false" ht="15" hidden="false" customHeight="true" outlineLevel="0" collapsed="false">
      <c r="A180" s="14" t="s">
        <v>1785</v>
      </c>
      <c r="B180" s="19" t="n">
        <f aca="false">$B$172*Impresa_guida!$B$9+($B$173+$B$175)*Impresa_guida!$B$13+($B$174+$B$176)*Impresa_guida!$B$17</f>
        <v>282530</v>
      </c>
      <c r="C180" s="16" t="s">
        <v>140</v>
      </c>
      <c r="D180" s="20" t="n">
        <v>282530</v>
      </c>
      <c r="E180" s="21" t="str">
        <f aca="false">IF(ABS(B180-D180)&lt;=0.5,"OK","DIVERSO")</f>
        <v>OK</v>
      </c>
      <c r="F180" s="16" t="s">
        <v>1232</v>
      </c>
    </row>
    <row r="181" customFormat="false" ht="15" hidden="false" customHeight="true" outlineLevel="0" collapsed="false">
      <c r="A181" s="14" t="s">
        <v>1786</v>
      </c>
      <c r="B181" s="19" t="n">
        <f aca="false">$B$172*(Impresa_guida!$B$9-Impresa_guida!$B$10)+($B$173+$B$175)*(Impresa_guida!$B$13-Impresa_guida!$B$14)+($B$174+$B$176)*(Impresa_guida!$B$17-Impresa_guida!$B$18)</f>
        <v>88270</v>
      </c>
      <c r="C181" s="16" t="s">
        <v>140</v>
      </c>
      <c r="D181" s="20" t="n">
        <v>88270</v>
      </c>
      <c r="E181" s="21" t="str">
        <f aca="false">IF(ABS(B181-D181)&lt;=0.5,"OK","DIVERSO")</f>
        <v>OK</v>
      </c>
      <c r="F181" s="16" t="s">
        <v>1232</v>
      </c>
    </row>
    <row r="182" customFormat="false" ht="15" hidden="false" customHeight="true" outlineLevel="0" collapsed="false">
      <c r="A182" s="14" t="s">
        <v>1787</v>
      </c>
      <c r="B182" s="19" t="n">
        <f aca="false">$B$172*(Impresa_guida!$B$9-Impresa_guida!$B$10)+$B$173*($B$98-Impresa_guida!$B$14)+$B$174*(Impresa_guida!$B$17-Impresa_guida!$B$18)</f>
        <v>90000</v>
      </c>
      <c r="C182" s="16" t="s">
        <v>140</v>
      </c>
      <c r="D182" s="20" t="n">
        <v>90000</v>
      </c>
      <c r="E182" s="21" t="str">
        <f aca="false">IF(ABS(B182-D182)&lt;=0.5,"OK","DIVERSO")</f>
        <v>OK</v>
      </c>
      <c r="F182" s="16" t="s">
        <v>1232</v>
      </c>
    </row>
    <row r="183" customFormat="false" ht="15" hidden="false" customHeight="true" outlineLevel="0" collapsed="false">
      <c r="A183" s="14" t="s">
        <v>1788</v>
      </c>
      <c r="B183" s="19" t="n">
        <f aca="false">$B$181-$B$178-MAX($B$177-$B$32,0)*Impresa_guida!$B$27</f>
        <v>19870</v>
      </c>
      <c r="C183" s="16" t="s">
        <v>140</v>
      </c>
      <c r="D183" s="20" t="n">
        <v>19870</v>
      </c>
      <c r="E183" s="21" t="str">
        <f aca="false">IF(ABS(B183-D183)&lt;=0.5,"OK","DIVERSO")</f>
        <v>OK</v>
      </c>
      <c r="F183" s="16" t="s">
        <v>1232</v>
      </c>
    </row>
    <row r="184" customFormat="false" ht="15" hidden="false" customHeight="true" outlineLevel="0" collapsed="false">
      <c r="A184" s="14" t="s">
        <v>1789</v>
      </c>
      <c r="B184" s="19" t="n">
        <f aca="false">$B$183-($B$182-$B$179-MAX($B$172*Impresa_guida!$B$11+$B$173*Impresa_guida!$B$15+$B$174*Impresa_guida!$B$19-$B$32,0)*Impresa_guida!$B$27)</f>
        <v>-930</v>
      </c>
      <c r="C184" s="16" t="s">
        <v>140</v>
      </c>
      <c r="D184" s="20" t="n">
        <v>-930</v>
      </c>
      <c r="E184" s="21" t="str">
        <f aca="false">IF(ABS(B184-D184)&lt;=0.5,"OK","DIVERSO")</f>
        <v>OK</v>
      </c>
      <c r="F184" s="16" t="s">
        <v>1232</v>
      </c>
    </row>
    <row r="185" customFormat="false" ht="15" hidden="false" customHeight="true" outlineLevel="0" collapsed="false">
      <c r="A185" s="14" t="s">
        <v>1790</v>
      </c>
      <c r="B185" s="19" t="n">
        <f aca="false">($B$175+$B$176)*$B$182/($B$172+$B$173+$B$174)</f>
        <v>3500</v>
      </c>
      <c r="C185" s="16" t="s">
        <v>140</v>
      </c>
      <c r="D185" s="20" t="n">
        <v>3500</v>
      </c>
      <c r="E185" s="21" t="str">
        <f aca="false">IF(ABS(B185-D185)&lt;=0.5,"OK","DIVERSO")</f>
        <v>OK</v>
      </c>
      <c r="F185" s="16" t="s">
        <v>1232</v>
      </c>
    </row>
    <row r="186" customFormat="false" ht="15" hidden="false" customHeight="true" outlineLevel="0" collapsed="false">
      <c r="A186" s="14" t="s">
        <v>1791</v>
      </c>
      <c r="B186" s="19" t="n">
        <f aca="false">($B$172-($B$172+$B$173+$B$174+$B$175+$B$176)*$B$172/($B$172+$B$173+$B$174))*(Impresa_guida!$B$9-Impresa_guida!$B$10)+($B$173+$B$175-($B$172+$B$173+$B$174+$B$175+$B$176)*$B$173/($B$172+$B$173+$B$174))*($B$98-Impresa_guida!$B$14)+($B$174+$B$176-($B$172+$B$173+$B$174+$B$175+$B$176)*$B$174/($B$172+$B$173+$B$174))*(Impresa_guida!$B$17-Impresa_guida!$B$18)</f>
        <v>-830.000000000003</v>
      </c>
      <c r="C186" s="16" t="s">
        <v>140</v>
      </c>
      <c r="D186" s="20" t="n">
        <v>-830</v>
      </c>
      <c r="E186" s="21" t="str">
        <f aca="false">IF(ABS(B186-D186)&lt;=0.5,"OK","DIVERSO")</f>
        <v>OK</v>
      </c>
      <c r="F186" s="16" t="s">
        <v>1232</v>
      </c>
    </row>
    <row r="187" customFormat="false" ht="15" hidden="false" customHeight="true" outlineLevel="0" collapsed="false">
      <c r="A187" s="14" t="s">
        <v>1792</v>
      </c>
      <c r="B187" s="26" t="n">
        <f aca="false">($B$172*Impresa_guida!$B$11+($B$173+$B$175)*Impresa_guida!$B$15+($B$174+$B$176)*Impresa_guida!$B$19-$B$177)/($B$172*Impresa_guida!$B$11+($B$173+$B$175)*Impresa_guida!$B$15+($B$174+$B$176)*Impresa_guida!$B$19)</f>
        <v>0.00663265306122449</v>
      </c>
      <c r="C187" s="16" t="s">
        <v>319</v>
      </c>
      <c r="D187" s="27" t="n">
        <v>0.007</v>
      </c>
      <c r="E187" s="21" t="str">
        <f aca="false">IF(ABS(B187-D187)&lt;=0.0005,"OK","DIVERSO")</f>
        <v>OK</v>
      </c>
      <c r="F187" s="16" t="s">
        <v>1232</v>
      </c>
    </row>
    <row r="188" customFormat="false" ht="15" hidden="false" customHeight="true" outlineLevel="0" collapsed="false"/>
    <row r="189" customFormat="false" ht="15" hidden="false" customHeight="true" outlineLevel="0" collapsed="false">
      <c r="A189" s="13" t="s">
        <v>1793</v>
      </c>
      <c r="B189" s="13"/>
      <c r="C189" s="13"/>
      <c r="D189" s="13"/>
      <c r="E189" s="13"/>
      <c r="F189" s="13"/>
    </row>
    <row r="190" customFormat="false" ht="30" hidden="false" customHeight="true" outlineLevel="0" collapsed="false">
      <c r="A190" s="22" t="s">
        <v>1794</v>
      </c>
      <c r="B190" s="22"/>
      <c r="C190" s="22"/>
      <c r="D190" s="22"/>
      <c r="E190" s="22"/>
      <c r="F190" s="22"/>
    </row>
    <row r="191" customFormat="false" ht="15" hidden="false" customHeight="true" outlineLevel="0" collapsed="false">
      <c r="A191" s="6" t="s">
        <v>116</v>
      </c>
      <c r="B191" s="6" t="s">
        <v>117</v>
      </c>
      <c r="C191" s="6" t="s">
        <v>118</v>
      </c>
      <c r="D191" s="6" t="s">
        <v>119</v>
      </c>
      <c r="E191" s="6" t="s">
        <v>120</v>
      </c>
      <c r="F191" s="6" t="s">
        <v>121</v>
      </c>
    </row>
    <row r="192" customFormat="false" ht="15" hidden="false" customHeight="true" outlineLevel="0" collapsed="false">
      <c r="A192" s="14" t="s">
        <v>1795</v>
      </c>
      <c r="B192" s="19" t="n">
        <f aca="false">Cap_05!$B$12</f>
        <v>1220000</v>
      </c>
      <c r="C192" s="16" t="s">
        <v>140</v>
      </c>
      <c r="D192" s="17"/>
      <c r="E192" s="17"/>
      <c r="F192" s="16" t="s">
        <v>1232</v>
      </c>
    </row>
    <row r="193" customFormat="false" ht="15" hidden="false" customHeight="true" outlineLevel="0" collapsed="false">
      <c r="A193" s="14" t="s">
        <v>1796</v>
      </c>
      <c r="B193" s="19" t="n">
        <f aca="false">Cap_08!$B$86</f>
        <v>459000</v>
      </c>
      <c r="C193" s="16" t="s">
        <v>140</v>
      </c>
      <c r="D193" s="17"/>
      <c r="E193" s="17"/>
      <c r="F193" s="16" t="s">
        <v>1232</v>
      </c>
    </row>
    <row r="194" customFormat="false" ht="15" hidden="false" customHeight="true" outlineLevel="0" collapsed="false">
      <c r="A194" s="14" t="s">
        <v>1797</v>
      </c>
      <c r="B194" s="19" t="n">
        <f aca="false">Cap_10!$B$159</f>
        <v>6000</v>
      </c>
      <c r="C194" s="16" t="s">
        <v>384</v>
      </c>
      <c r="D194" s="17"/>
      <c r="E194" s="17"/>
      <c r="F194" s="16" t="s">
        <v>1232</v>
      </c>
    </row>
    <row r="195" customFormat="false" ht="15" hidden="false" customHeight="true" outlineLevel="0" collapsed="false">
      <c r="A195" s="14" t="s">
        <v>1798</v>
      </c>
      <c r="B195" s="19" t="n">
        <f aca="false">Cap_10!$B$160</f>
        <v>3600</v>
      </c>
      <c r="C195" s="16" t="s">
        <v>387</v>
      </c>
      <c r="D195" s="17"/>
      <c r="E195" s="17"/>
      <c r="F195" s="16" t="s">
        <v>1232</v>
      </c>
    </row>
    <row r="196" customFormat="false" ht="15" hidden="false" customHeight="true" outlineLevel="0" collapsed="false">
      <c r="A196" s="14" t="s">
        <v>1799</v>
      </c>
      <c r="B196" s="19" t="n">
        <f aca="false">Cap_10!$B$161</f>
        <v>5250</v>
      </c>
      <c r="C196" s="16" t="s">
        <v>144</v>
      </c>
      <c r="D196" s="17"/>
      <c r="E196" s="17"/>
      <c r="F196" s="16" t="s">
        <v>1232</v>
      </c>
    </row>
    <row r="197" customFormat="false" ht="15" hidden="false" customHeight="true" outlineLevel="0" collapsed="false">
      <c r="A197" s="14" t="s">
        <v>1800</v>
      </c>
      <c r="B197" s="19" t="n">
        <f aca="false">$B$194*$B$63+$B$195*$B$64+$B$196*$B$65</f>
        <v>333000</v>
      </c>
      <c r="C197" s="16" t="s">
        <v>140</v>
      </c>
      <c r="D197" s="20" t="n">
        <v>333000</v>
      </c>
      <c r="E197" s="21" t="str">
        <f aca="false">IF(ABS(B197-D197)&lt;=0.5,"OK","DIVERSO")</f>
        <v>OK</v>
      </c>
      <c r="F197" s="16" t="s">
        <v>1232</v>
      </c>
    </row>
    <row r="198" customFormat="false" ht="15" hidden="false" customHeight="true" outlineLevel="0" collapsed="false">
      <c r="A198" s="14" t="s">
        <v>1801</v>
      </c>
      <c r="B198" s="19" t="n">
        <f aca="false">$B$193-$B$197</f>
        <v>126000</v>
      </c>
      <c r="C198" s="16" t="s">
        <v>140</v>
      </c>
      <c r="D198" s="20" t="n">
        <v>126000</v>
      </c>
      <c r="E198" s="21" t="str">
        <f aca="false">IF(ABS(B198-D198)&lt;=0.5,"OK","DIVERSO")</f>
        <v>OK</v>
      </c>
      <c r="F198" s="16" t="s">
        <v>1232</v>
      </c>
    </row>
    <row r="199" customFormat="false" ht="15" hidden="false" customHeight="true" outlineLevel="0" collapsed="false">
      <c r="A199" s="14" t="s">
        <v>1802</v>
      </c>
      <c r="B199" s="26" t="n">
        <f aca="false">$B$198/$B$192</f>
        <v>0.10327868852459</v>
      </c>
      <c r="C199" s="16" t="s">
        <v>319</v>
      </c>
      <c r="D199" s="27" t="n">
        <v>0.103</v>
      </c>
      <c r="E199" s="21" t="str">
        <f aca="false">IF(ABS(B199-D199)&lt;=0.0005,"OK","DIVERSO")</f>
        <v>OK</v>
      </c>
      <c r="F199" s="16" t="s">
        <v>1232</v>
      </c>
    </row>
    <row r="200" customFormat="false" ht="15" hidden="false" customHeight="true" outlineLevel="0" collapsed="false">
      <c r="A200" s="14" t="s">
        <v>1803</v>
      </c>
      <c r="B200" s="19" t="n">
        <f aca="false">(Impresa_guida!$B$36-$B$193)-($B$57+$B$58+$B$59-$B$197)</f>
        <v>366000</v>
      </c>
      <c r="C200" s="16" t="s">
        <v>140</v>
      </c>
      <c r="D200" s="20" t="n">
        <v>366000</v>
      </c>
      <c r="E200" s="21" t="str">
        <f aca="false">IF(ABS(B200-D200)&lt;=0.5,"OK","DIVERSO")</f>
        <v>OK</v>
      </c>
      <c r="F200" s="16" t="s">
        <v>1232</v>
      </c>
    </row>
    <row r="201" customFormat="false" ht="15" hidden="false" customHeight="true" outlineLevel="0" collapsed="false">
      <c r="A201" s="14" t="s">
        <v>1804</v>
      </c>
      <c r="B201" s="19" t="n">
        <f aca="false">$B$198+$B$200-$B$66</f>
        <v>242000</v>
      </c>
      <c r="C201" s="16" t="s">
        <v>140</v>
      </c>
      <c r="D201" s="20" t="n">
        <v>242000</v>
      </c>
      <c r="E201" s="21" t="str">
        <f aca="false">IF(ABS(B201-D201)&lt;=0.5,"OK","DIVERSO")</f>
        <v>OK</v>
      </c>
      <c r="F201" s="16" t="s">
        <v>1232</v>
      </c>
    </row>
    <row r="202" customFormat="false" ht="15" hidden="false" customHeight="true" outlineLevel="0" collapsed="false">
      <c r="A202" s="14" t="s">
        <v>1805</v>
      </c>
      <c r="B202" s="19" t="n">
        <f aca="false">$B$192/$B$194</f>
        <v>203.333333333333</v>
      </c>
      <c r="C202" s="16" t="s">
        <v>842</v>
      </c>
      <c r="D202" s="20" t="n">
        <v>203</v>
      </c>
      <c r="E202" s="21" t="str">
        <f aca="false">IF(ABS(B202-D202)&lt;=0.5,"OK","DIVERSO")</f>
        <v>OK</v>
      </c>
      <c r="F202" s="16" t="s">
        <v>1232</v>
      </c>
    </row>
  </sheetData>
  <mergeCells count="26">
    <mergeCell ref="A1:F1"/>
    <mergeCell ref="A4:F4"/>
    <mergeCell ref="A6:F6"/>
    <mergeCell ref="A7:F7"/>
    <mergeCell ref="A24:F24"/>
    <mergeCell ref="A25:F25"/>
    <mergeCell ref="A38:F38"/>
    <mergeCell ref="A39:F39"/>
    <mergeCell ref="A54:F54"/>
    <mergeCell ref="A55:F55"/>
    <mergeCell ref="A82:F82"/>
    <mergeCell ref="A83:F83"/>
    <mergeCell ref="A94:F94"/>
    <mergeCell ref="A95:F95"/>
    <mergeCell ref="A107:F107"/>
    <mergeCell ref="A108:F108"/>
    <mergeCell ref="A124:F124"/>
    <mergeCell ref="A125:F125"/>
    <mergeCell ref="A143:F143"/>
    <mergeCell ref="A144:F144"/>
    <mergeCell ref="A160:F160"/>
    <mergeCell ref="A161:F161"/>
    <mergeCell ref="A169:F169"/>
    <mergeCell ref="A170:F170"/>
    <mergeCell ref="A189:F189"/>
    <mergeCell ref="A190:F1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11"/>
    <col collapsed="false" customWidth="true" hidden="false" outlineLevel="0" max="4" min="4" style="1" width="18"/>
    <col collapsed="false" customWidth="true" hidden="false" outlineLevel="0" max="5" min="5" style="1" width="12"/>
    <col collapsed="false" customWidth="true" hidden="false" outlineLevel="0" max="6" min="6" style="1" width="34"/>
  </cols>
  <sheetData>
    <row r="1" customFormat="false" ht="30" hidden="false" customHeight="true" outlineLevel="0" collapsed="false">
      <c r="A1" s="10" t="s">
        <v>77</v>
      </c>
      <c r="B1" s="10"/>
      <c r="C1" s="10"/>
      <c r="D1" s="10"/>
      <c r="E1" s="10"/>
      <c r="F1" s="10"/>
    </row>
    <row r="2" customFormat="false" ht="15" hidden="false" customHeight="true" outlineLevel="0" collapsed="false">
      <c r="A2" s="11" t="s">
        <v>112</v>
      </c>
    </row>
    <row r="3" customFormat="false" ht="15" hidden="false" customHeight="true" outlineLevel="0" collapsed="false">
      <c r="A3" s="12" t="s">
        <v>113</v>
      </c>
    </row>
    <row r="4" customFormat="false" ht="31.5" hidden="false" customHeight="true" outlineLevel="0" collapsed="false">
      <c r="A4" s="5" t="s">
        <v>1806</v>
      </c>
      <c r="B4" s="5"/>
      <c r="C4" s="5"/>
      <c r="D4" s="5"/>
      <c r="E4" s="5"/>
      <c r="F4" s="5"/>
    </row>
    <row r="5" customFormat="false" ht="15" hidden="false" customHeight="true" outlineLevel="0" collapsed="false"/>
    <row r="6" customFormat="false" ht="15" hidden="false" customHeight="true" outlineLevel="0" collapsed="false">
      <c r="A6" s="13" t="s">
        <v>1807</v>
      </c>
      <c r="B6" s="13"/>
      <c r="C6" s="13"/>
      <c r="D6" s="13"/>
      <c r="E6" s="13"/>
      <c r="F6" s="13"/>
    </row>
    <row r="7" customFormat="false" ht="30" hidden="false" customHeight="true" outlineLevel="0" collapsed="false">
      <c r="A7" s="22" t="s">
        <v>1808</v>
      </c>
      <c r="B7" s="22"/>
      <c r="C7" s="22"/>
      <c r="D7" s="22"/>
      <c r="E7" s="22"/>
      <c r="F7" s="22"/>
    </row>
    <row r="8" customFormat="false" ht="15" hidden="false" customHeight="true" outlineLevel="0" collapsed="false">
      <c r="A8" s="6" t="s">
        <v>116</v>
      </c>
      <c r="B8" s="6" t="s">
        <v>117</v>
      </c>
      <c r="C8" s="6" t="s">
        <v>118</v>
      </c>
      <c r="D8" s="6" t="s">
        <v>119</v>
      </c>
      <c r="E8" s="6" t="s">
        <v>120</v>
      </c>
      <c r="F8" s="6" t="s">
        <v>121</v>
      </c>
    </row>
    <row r="9" customFormat="false" ht="15" hidden="false" customHeight="true" outlineLevel="0" collapsed="false">
      <c r="A9" s="14" t="s">
        <v>1809</v>
      </c>
      <c r="B9" s="15" t="n">
        <v>180000</v>
      </c>
      <c r="C9" s="16" t="s">
        <v>140</v>
      </c>
      <c r="D9" s="17"/>
      <c r="E9" s="17"/>
      <c r="F9" s="16" t="s">
        <v>1810</v>
      </c>
    </row>
    <row r="10" customFormat="false" ht="15" hidden="false" customHeight="true" outlineLevel="0" collapsed="false">
      <c r="A10" s="14" t="s">
        <v>1811</v>
      </c>
      <c r="B10" s="15" t="n">
        <v>1200000</v>
      </c>
      <c r="C10" s="16" t="s">
        <v>140</v>
      </c>
      <c r="D10" s="17"/>
      <c r="E10" s="17"/>
      <c r="F10" s="16" t="s">
        <v>1810</v>
      </c>
    </row>
    <row r="11" customFormat="false" ht="15" hidden="false" customHeight="true" outlineLevel="0" collapsed="false">
      <c r="A11" s="14" t="s">
        <v>1812</v>
      </c>
      <c r="B11" s="34" t="n">
        <f aca="false">$B$9/$B$10</f>
        <v>0.15</v>
      </c>
      <c r="C11" s="16" t="s">
        <v>319</v>
      </c>
      <c r="D11" s="35" t="n">
        <v>0.15</v>
      </c>
      <c r="E11" s="21" t="str">
        <f aca="false">IF(ABS(B11-D11)&lt;=0.00005,"OK","DIVERSO")</f>
        <v>OK</v>
      </c>
      <c r="F11" s="16" t="s">
        <v>1810</v>
      </c>
    </row>
    <row r="12" customFormat="false" ht="15" hidden="false" customHeight="true" outlineLevel="0" collapsed="false">
      <c r="A12" s="14" t="s">
        <v>1813</v>
      </c>
      <c r="B12" s="15" t="n">
        <v>120000</v>
      </c>
      <c r="C12" s="16" t="s">
        <v>140</v>
      </c>
      <c r="D12" s="17"/>
      <c r="E12" s="17"/>
      <c r="F12" s="16" t="s">
        <v>1810</v>
      </c>
    </row>
    <row r="13" customFormat="false" ht="15" hidden="false" customHeight="true" outlineLevel="0" collapsed="false">
      <c r="A13" s="14" t="s">
        <v>1814</v>
      </c>
      <c r="B13" s="34" t="n">
        <f aca="false">$B$12/$B$10</f>
        <v>0.1</v>
      </c>
      <c r="C13" s="16" t="s">
        <v>319</v>
      </c>
      <c r="D13" s="35" t="n">
        <v>0.1</v>
      </c>
      <c r="E13" s="21" t="str">
        <f aca="false">IF(ABS(B13-D13)&lt;=0.00005,"OK","DIVERSO")</f>
        <v>OK</v>
      </c>
      <c r="F13" s="16" t="s">
        <v>1810</v>
      </c>
    </row>
    <row r="14" customFormat="false" ht="15" hidden="false" customHeight="true" outlineLevel="0" collapsed="false">
      <c r="A14" s="14" t="s">
        <v>1815</v>
      </c>
      <c r="B14" s="15" t="n">
        <v>580000</v>
      </c>
      <c r="C14" s="16" t="s">
        <v>140</v>
      </c>
      <c r="D14" s="17"/>
      <c r="E14" s="17"/>
      <c r="F14" s="16" t="s">
        <v>1810</v>
      </c>
    </row>
    <row r="15" customFormat="false" ht="15" hidden="false" customHeight="true" outlineLevel="0" collapsed="false">
      <c r="A15" s="14" t="s">
        <v>1816</v>
      </c>
      <c r="B15" s="15" t="n">
        <v>620000</v>
      </c>
      <c r="C15" s="16" t="s">
        <v>140</v>
      </c>
      <c r="D15" s="17"/>
      <c r="E15" s="17"/>
      <c r="F15" s="16" t="s">
        <v>1810</v>
      </c>
    </row>
    <row r="16" customFormat="false" ht="15" hidden="false" customHeight="true" outlineLevel="0" collapsed="false">
      <c r="A16" s="14" t="s">
        <v>1817</v>
      </c>
      <c r="B16" s="19" t="n">
        <f aca="false">($B$14+$B$15)/2</f>
        <v>600000</v>
      </c>
      <c r="C16" s="16" t="s">
        <v>140</v>
      </c>
      <c r="D16" s="20" t="n">
        <v>600000</v>
      </c>
      <c r="E16" s="21" t="str">
        <f aca="false">IF(ABS(B16-D16)&lt;=0.5,"OK","DIVERSO")</f>
        <v>OK</v>
      </c>
      <c r="F16" s="16" t="s">
        <v>1810</v>
      </c>
    </row>
    <row r="17" customFormat="false" ht="15" hidden="false" customHeight="true" outlineLevel="0" collapsed="false">
      <c r="A17" s="14" t="s">
        <v>1818</v>
      </c>
      <c r="B17" s="23" t="n">
        <f aca="false">$B$10/$B$16</f>
        <v>2</v>
      </c>
      <c r="C17" s="16" t="s">
        <v>518</v>
      </c>
      <c r="D17" s="24" t="n">
        <v>2</v>
      </c>
      <c r="E17" s="21" t="str">
        <f aca="false">IF(ABS(B17-D17)&lt;=0.005,"OK","DIVERSO")</f>
        <v>OK</v>
      </c>
      <c r="F17" s="16" t="s">
        <v>1810</v>
      </c>
    </row>
    <row r="18" customFormat="false" ht="15" hidden="false" customHeight="true" outlineLevel="0" collapsed="false">
      <c r="A18" s="14" t="s">
        <v>1819</v>
      </c>
      <c r="B18" s="34" t="n">
        <f aca="false">$B$12/$B$16</f>
        <v>0.2</v>
      </c>
      <c r="C18" s="16" t="s">
        <v>319</v>
      </c>
      <c r="D18" s="35" t="n">
        <v>0.2</v>
      </c>
      <c r="E18" s="21" t="str">
        <f aca="false">IF(ABS(B18-D18)&lt;=0.00005,"OK","DIVERSO")</f>
        <v>OK</v>
      </c>
      <c r="F18" s="16" t="s">
        <v>1810</v>
      </c>
    </row>
    <row r="19" customFormat="false" ht="15" hidden="false" customHeight="true" outlineLevel="0" collapsed="false"/>
    <row r="20" customFormat="false" ht="15" hidden="false" customHeight="true" outlineLevel="0" collapsed="false">
      <c r="A20" s="13" t="s">
        <v>1820</v>
      </c>
      <c r="B20" s="13"/>
      <c r="C20" s="13"/>
      <c r="D20" s="13"/>
      <c r="E20" s="13"/>
      <c r="F20" s="13"/>
    </row>
    <row r="21" customFormat="false" ht="15" hidden="false" customHeight="true" outlineLevel="0" collapsed="false">
      <c r="A21" s="22" t="s">
        <v>1821</v>
      </c>
      <c r="B21" s="22"/>
      <c r="C21" s="22"/>
      <c r="D21" s="22"/>
      <c r="E21" s="22"/>
      <c r="F21" s="22"/>
    </row>
    <row r="22" customFormat="false" ht="15" hidden="false" customHeight="true" outlineLevel="0" collapsed="false">
      <c r="A22" s="6" t="s">
        <v>116</v>
      </c>
      <c r="B22" s="6" t="s">
        <v>117</v>
      </c>
      <c r="C22" s="6" t="s">
        <v>118</v>
      </c>
      <c r="D22" s="6" t="s">
        <v>119</v>
      </c>
      <c r="E22" s="6" t="s">
        <v>120</v>
      </c>
      <c r="F22" s="6" t="s">
        <v>121</v>
      </c>
    </row>
    <row r="23" customFormat="false" ht="15" hidden="false" customHeight="true" outlineLevel="0" collapsed="false">
      <c r="A23" s="14" t="s">
        <v>1822</v>
      </c>
      <c r="B23" s="15" t="n">
        <v>80</v>
      </c>
      <c r="C23" s="16" t="s">
        <v>126</v>
      </c>
      <c r="D23" s="17"/>
      <c r="E23" s="17"/>
      <c r="F23" s="16" t="s">
        <v>1810</v>
      </c>
    </row>
    <row r="24" customFormat="false" ht="15" hidden="false" customHeight="true" outlineLevel="0" collapsed="false">
      <c r="A24" s="14" t="s">
        <v>1823</v>
      </c>
      <c r="B24" s="15" t="n">
        <v>52</v>
      </c>
      <c r="C24" s="16" t="s">
        <v>126</v>
      </c>
      <c r="D24" s="17"/>
      <c r="E24" s="17"/>
      <c r="F24" s="16" t="s">
        <v>1810</v>
      </c>
    </row>
    <row r="25" customFormat="false" ht="15" hidden="false" customHeight="true" outlineLevel="0" collapsed="false">
      <c r="A25" s="14" t="s">
        <v>1824</v>
      </c>
      <c r="B25" s="19" t="n">
        <f aca="false">$B$23-$B$24</f>
        <v>28</v>
      </c>
      <c r="C25" s="16" t="s">
        <v>126</v>
      </c>
      <c r="D25" s="20" t="n">
        <v>28</v>
      </c>
      <c r="E25" s="21" t="str">
        <f aca="false">IF(ABS(B25-D25)&lt;=0.5,"OK","DIVERSO")</f>
        <v>OK</v>
      </c>
      <c r="F25" s="16" t="s">
        <v>1810</v>
      </c>
    </row>
    <row r="26" customFormat="false" ht="15" hidden="false" customHeight="true" outlineLevel="0" collapsed="false">
      <c r="A26" s="14" t="s">
        <v>1825</v>
      </c>
      <c r="B26" s="15" t="n">
        <v>280000</v>
      </c>
      <c r="C26" s="16" t="s">
        <v>140</v>
      </c>
      <c r="D26" s="17"/>
      <c r="E26" s="17"/>
      <c r="F26" s="16" t="s">
        <v>1810</v>
      </c>
    </row>
    <row r="27" customFormat="false" ht="15" hidden="false" customHeight="true" outlineLevel="0" collapsed="false">
      <c r="A27" s="14" t="s">
        <v>1826</v>
      </c>
      <c r="B27" s="15" t="n">
        <v>800000</v>
      </c>
      <c r="C27" s="16" t="s">
        <v>140</v>
      </c>
      <c r="D27" s="17"/>
      <c r="E27" s="17"/>
      <c r="F27" s="16" t="s">
        <v>1810</v>
      </c>
    </row>
    <row r="28" customFormat="false" ht="15" hidden="false" customHeight="true" outlineLevel="0" collapsed="false">
      <c r="A28" s="14" t="s">
        <v>1827</v>
      </c>
      <c r="B28" s="34" t="n">
        <f aca="false">$B$26/$B$27</f>
        <v>0.35</v>
      </c>
      <c r="C28" s="16" t="s">
        <v>319</v>
      </c>
      <c r="D28" s="35" t="n">
        <v>0.35</v>
      </c>
      <c r="E28" s="21" t="str">
        <f aca="false">IF(ABS(B28-D28)&lt;=0.00005,"OK","DIVERSO")</f>
        <v>OK</v>
      </c>
      <c r="F28" s="16" t="s">
        <v>1810</v>
      </c>
    </row>
    <row r="29" customFormat="false" ht="15" hidden="false" customHeight="true" outlineLevel="0" collapsed="false">
      <c r="A29" s="14" t="s">
        <v>1828</v>
      </c>
      <c r="B29" s="15" t="n">
        <v>350000</v>
      </c>
      <c r="C29" s="16" t="s">
        <v>140</v>
      </c>
      <c r="D29" s="17"/>
      <c r="E29" s="17"/>
      <c r="F29" s="16" t="s">
        <v>1810</v>
      </c>
    </row>
    <row r="30" customFormat="false" ht="15" hidden="false" customHeight="true" outlineLevel="0" collapsed="false">
      <c r="A30" s="14" t="s">
        <v>1829</v>
      </c>
      <c r="B30" s="19" t="n">
        <f aca="false">ROUNDUP($B$29/$B$25,0)</f>
        <v>12500</v>
      </c>
      <c r="C30" s="16" t="s">
        <v>123</v>
      </c>
      <c r="D30" s="20" t="n">
        <v>12500</v>
      </c>
      <c r="E30" s="21" t="str">
        <f aca="false">IF(ABS(B30-D30)&lt;=0.5,"OK","DIVERSO")</f>
        <v>OK</v>
      </c>
      <c r="F30" s="16" t="s">
        <v>1810</v>
      </c>
    </row>
    <row r="31" customFormat="false" ht="15" hidden="false" customHeight="true" outlineLevel="0" collapsed="false">
      <c r="A31" s="14" t="s">
        <v>1830</v>
      </c>
      <c r="B31" s="19" t="n">
        <f aca="false">$B$29/$B$28</f>
        <v>1000000</v>
      </c>
      <c r="C31" s="16" t="s">
        <v>140</v>
      </c>
      <c r="D31" s="20" t="n">
        <v>1000000</v>
      </c>
      <c r="E31" s="21" t="str">
        <f aca="false">IF(ABS(B31-D31)&lt;=0.5,"OK","DIVERSO")</f>
        <v>OK</v>
      </c>
      <c r="F31" s="16" t="s">
        <v>1810</v>
      </c>
    </row>
    <row r="32" customFormat="false" ht="15" hidden="false" customHeight="true" outlineLevel="0" collapsed="false">
      <c r="A32" s="14" t="s">
        <v>1831</v>
      </c>
      <c r="B32" s="15" t="n">
        <v>1200000</v>
      </c>
      <c r="C32" s="16" t="s">
        <v>140</v>
      </c>
      <c r="D32" s="17"/>
      <c r="E32" s="17"/>
      <c r="F32" s="16" t="s">
        <v>1810</v>
      </c>
    </row>
    <row r="33" customFormat="false" ht="15" hidden="false" customHeight="true" outlineLevel="0" collapsed="false">
      <c r="A33" s="14" t="s">
        <v>1832</v>
      </c>
      <c r="B33" s="19" t="n">
        <f aca="false">$B$32-$B$31</f>
        <v>200000</v>
      </c>
      <c r="C33" s="16" t="s">
        <v>140</v>
      </c>
      <c r="D33" s="20" t="n">
        <v>200000</v>
      </c>
      <c r="E33" s="21" t="str">
        <f aca="false">IF(ABS(B33-D33)&lt;=0.5,"OK","DIVERSO")</f>
        <v>OK</v>
      </c>
      <c r="F33" s="16" t="s">
        <v>1810</v>
      </c>
    </row>
    <row r="34" customFormat="false" ht="15" hidden="false" customHeight="true" outlineLevel="0" collapsed="false">
      <c r="A34" s="14" t="s">
        <v>1833</v>
      </c>
      <c r="B34" s="34" t="n">
        <f aca="false">($B$32-$B$31)/$B$32</f>
        <v>0.166666666666667</v>
      </c>
      <c r="C34" s="16" t="s">
        <v>319</v>
      </c>
      <c r="D34" s="35" t="n">
        <v>0.1667</v>
      </c>
      <c r="E34" s="21" t="str">
        <f aca="false">IF(ABS(B34-D34)&lt;=0.00005,"OK","DIVERSO")</f>
        <v>OK</v>
      </c>
      <c r="F34" s="16" t="s">
        <v>1810</v>
      </c>
    </row>
    <row r="35" customFormat="false" ht="15" hidden="false" customHeight="true" outlineLevel="0" collapsed="false"/>
    <row r="36" customFormat="false" ht="15" hidden="false" customHeight="true" outlineLevel="0" collapsed="false">
      <c r="A36" s="13" t="s">
        <v>1834</v>
      </c>
      <c r="B36" s="13"/>
      <c r="C36" s="13"/>
      <c r="D36" s="13"/>
      <c r="E36" s="13"/>
      <c r="F36" s="13"/>
    </row>
    <row r="37" customFormat="false" ht="15" hidden="false" customHeight="true" outlineLevel="0" collapsed="false">
      <c r="A37" s="22" t="s">
        <v>1835</v>
      </c>
      <c r="B37" s="22"/>
      <c r="C37" s="22"/>
      <c r="D37" s="22"/>
      <c r="E37" s="22"/>
      <c r="F37" s="22"/>
    </row>
    <row r="38" customFormat="false" ht="15" hidden="false" customHeight="true" outlineLevel="0" collapsed="false">
      <c r="A38" s="6" t="s">
        <v>116</v>
      </c>
      <c r="B38" s="6" t="s">
        <v>117</v>
      </c>
      <c r="C38" s="6" t="s">
        <v>118</v>
      </c>
      <c r="D38" s="6" t="s">
        <v>119</v>
      </c>
      <c r="E38" s="6" t="s">
        <v>120</v>
      </c>
      <c r="F38" s="6" t="s">
        <v>121</v>
      </c>
    </row>
    <row r="39" customFormat="false" ht="15" hidden="false" customHeight="true" outlineLevel="0" collapsed="false">
      <c r="A39" s="14" t="s">
        <v>1836</v>
      </c>
      <c r="B39" s="15" t="n">
        <v>1150000</v>
      </c>
      <c r="C39" s="16" t="s">
        <v>140</v>
      </c>
      <c r="D39" s="17"/>
      <c r="E39" s="17"/>
      <c r="F39" s="16" t="s">
        <v>1810</v>
      </c>
    </row>
    <row r="40" customFormat="false" ht="15" hidden="false" customHeight="true" outlineLevel="0" collapsed="false">
      <c r="A40" s="14" t="s">
        <v>1837</v>
      </c>
      <c r="B40" s="15" t="n">
        <v>1200000</v>
      </c>
      <c r="C40" s="16" t="s">
        <v>140</v>
      </c>
      <c r="D40" s="17"/>
      <c r="E40" s="17"/>
      <c r="F40" s="16" t="s">
        <v>1810</v>
      </c>
    </row>
    <row r="41" customFormat="false" ht="15" hidden="false" customHeight="true" outlineLevel="0" collapsed="false">
      <c r="A41" s="14" t="s">
        <v>1838</v>
      </c>
      <c r="B41" s="19" t="n">
        <f aca="false">$B$39-$B$40</f>
        <v>-50000</v>
      </c>
      <c r="C41" s="16" t="s">
        <v>140</v>
      </c>
      <c r="D41" s="20" t="n">
        <v>-50000</v>
      </c>
      <c r="E41" s="21" t="str">
        <f aca="false">IF(ABS(B41-D41)&lt;=0.5,"OK","DIVERSO")</f>
        <v>OK</v>
      </c>
      <c r="F41" s="16" t="s">
        <v>1810</v>
      </c>
    </row>
    <row r="42" customFormat="false" ht="15" hidden="false" customHeight="true" outlineLevel="0" collapsed="false">
      <c r="A42" s="14" t="s">
        <v>1839</v>
      </c>
      <c r="B42" s="34" t="n">
        <f aca="false">$B$41/$B$40</f>
        <v>-0.0416666666666667</v>
      </c>
      <c r="C42" s="16" t="s">
        <v>319</v>
      </c>
      <c r="D42" s="35" t="n">
        <v>-0.0417</v>
      </c>
      <c r="E42" s="21" t="str">
        <f aca="false">IF(ABS(B42-D42)&lt;=0.00005,"OK","DIVERSO")</f>
        <v>OK</v>
      </c>
      <c r="F42" s="16" t="s">
        <v>1810</v>
      </c>
    </row>
    <row r="43" customFormat="false" ht="15" hidden="false" customHeight="true" outlineLevel="0" collapsed="false">
      <c r="A43" s="14" t="s">
        <v>1840</v>
      </c>
      <c r="B43" s="15" t="n">
        <v>420000</v>
      </c>
      <c r="C43" s="16" t="s">
        <v>140</v>
      </c>
      <c r="D43" s="17"/>
      <c r="E43" s="17"/>
      <c r="F43" s="16" t="s">
        <v>1810</v>
      </c>
    </row>
    <row r="44" customFormat="false" ht="15" hidden="false" customHeight="true" outlineLevel="0" collapsed="false">
      <c r="A44" s="14" t="s">
        <v>1841</v>
      </c>
      <c r="B44" s="15" t="n">
        <v>400000</v>
      </c>
      <c r="C44" s="16" t="s">
        <v>140</v>
      </c>
      <c r="D44" s="17"/>
      <c r="E44" s="17"/>
      <c r="F44" s="16" t="s">
        <v>1810</v>
      </c>
    </row>
    <row r="45" customFormat="false" ht="15" hidden="false" customHeight="true" outlineLevel="0" collapsed="false">
      <c r="A45" s="14" t="s">
        <v>1842</v>
      </c>
      <c r="B45" s="19" t="n">
        <f aca="false">$B$43-$B$44</f>
        <v>20000</v>
      </c>
      <c r="C45" s="16" t="s">
        <v>140</v>
      </c>
      <c r="D45" s="20" t="n">
        <v>20000</v>
      </c>
      <c r="E45" s="21" t="str">
        <f aca="false">IF(ABS(B45-D45)&lt;=0.5,"OK","DIVERSO")</f>
        <v>OK</v>
      </c>
      <c r="F45" s="16" t="s">
        <v>1810</v>
      </c>
    </row>
    <row r="46" customFormat="false" ht="15" hidden="false" customHeight="true" outlineLevel="0" collapsed="false">
      <c r="A46" s="14" t="s">
        <v>1843</v>
      </c>
      <c r="B46" s="34" t="n">
        <f aca="false">$B$45/$B$44</f>
        <v>0.05</v>
      </c>
      <c r="C46" s="16" t="s">
        <v>319</v>
      </c>
      <c r="D46" s="35" t="n">
        <v>0.05</v>
      </c>
      <c r="E46" s="21" t="str">
        <f aca="false">IF(ABS(B46-D46)&lt;=0.00005,"OK","DIVERSO")</f>
        <v>OK</v>
      </c>
      <c r="F46" s="16" t="s">
        <v>1810</v>
      </c>
    </row>
    <row r="47" customFormat="false" ht="15" hidden="false" customHeight="true" outlineLevel="0" collapsed="false">
      <c r="A47" s="14" t="s">
        <v>1844</v>
      </c>
      <c r="B47" s="15" t="n">
        <v>170000</v>
      </c>
      <c r="C47" s="16" t="s">
        <v>140</v>
      </c>
      <c r="D47" s="17"/>
      <c r="E47" s="17"/>
      <c r="F47" s="16" t="s">
        <v>1810</v>
      </c>
    </row>
    <row r="48" customFormat="false" ht="15" hidden="false" customHeight="true" outlineLevel="0" collapsed="false">
      <c r="A48" s="14" t="s">
        <v>1845</v>
      </c>
      <c r="B48" s="15" t="n">
        <v>190000</v>
      </c>
      <c r="C48" s="16" t="s">
        <v>140</v>
      </c>
      <c r="D48" s="17"/>
      <c r="E48" s="17"/>
      <c r="F48" s="16" t="s">
        <v>1810</v>
      </c>
    </row>
    <row r="49" customFormat="false" ht="15" hidden="false" customHeight="true" outlineLevel="0" collapsed="false">
      <c r="A49" s="14" t="s">
        <v>1846</v>
      </c>
      <c r="B49" s="19" t="n">
        <f aca="false">$B$47-$B$48</f>
        <v>-20000</v>
      </c>
      <c r="C49" s="16" t="s">
        <v>140</v>
      </c>
      <c r="D49" s="20" t="n">
        <v>-20000</v>
      </c>
      <c r="E49" s="21" t="str">
        <f aca="false">IF(ABS(B49-D49)&lt;=0.5,"OK","DIVERSO")</f>
        <v>OK</v>
      </c>
      <c r="F49" s="16" t="s">
        <v>1810</v>
      </c>
    </row>
    <row r="50" customFormat="false" ht="15" hidden="false" customHeight="true" outlineLevel="0" collapsed="false">
      <c r="A50" s="14" t="s">
        <v>1847</v>
      </c>
      <c r="B50" s="34" t="n">
        <f aca="false">$B$49/ABS($B$48)</f>
        <v>-0.105263157894737</v>
      </c>
      <c r="C50" s="16" t="s">
        <v>319</v>
      </c>
      <c r="D50" s="35" t="n">
        <v>-0.1053</v>
      </c>
      <c r="E50" s="21" t="str">
        <f aca="false">IF(ABS(B50-D50)&lt;=0.00005,"OK","DIVERSO")</f>
        <v>OK</v>
      </c>
      <c r="F50" s="16" t="s">
        <v>1810</v>
      </c>
    </row>
    <row r="51" customFormat="false" ht="15" hidden="false" customHeight="true" outlineLevel="0" collapsed="false"/>
    <row r="52" customFormat="false" ht="15" hidden="false" customHeight="true" outlineLevel="0" collapsed="false">
      <c r="A52" s="13" t="s">
        <v>1848</v>
      </c>
      <c r="B52" s="13"/>
      <c r="C52" s="13"/>
      <c r="D52" s="13"/>
      <c r="E52" s="13"/>
      <c r="F52" s="13"/>
    </row>
    <row r="53" customFormat="false" ht="15" hidden="false" customHeight="true" outlineLevel="0" collapsed="false">
      <c r="A53" s="22" t="s">
        <v>1849</v>
      </c>
      <c r="B53" s="22"/>
      <c r="C53" s="22"/>
      <c r="D53" s="22"/>
      <c r="E53" s="22"/>
      <c r="F53" s="22"/>
    </row>
    <row r="54" customFormat="false" ht="15" hidden="false" customHeight="true" outlineLevel="0" collapsed="false">
      <c r="A54" s="6" t="s">
        <v>116</v>
      </c>
      <c r="B54" s="6" t="s">
        <v>117</v>
      </c>
      <c r="C54" s="6" t="s">
        <v>118</v>
      </c>
      <c r="D54" s="6" t="s">
        <v>119</v>
      </c>
      <c r="E54" s="6" t="s">
        <v>120</v>
      </c>
      <c r="F54" s="6" t="s">
        <v>121</v>
      </c>
    </row>
    <row r="55" customFormat="false" ht="15" hidden="false" customHeight="true" outlineLevel="0" collapsed="false">
      <c r="A55" s="14" t="s">
        <v>1850</v>
      </c>
      <c r="B55" s="15" t="n">
        <v>100</v>
      </c>
      <c r="C55" s="16" t="s">
        <v>123</v>
      </c>
      <c r="D55" s="17"/>
      <c r="E55" s="17"/>
      <c r="F55" s="16" t="s">
        <v>1810</v>
      </c>
    </row>
    <row r="56" customFormat="false" ht="15" hidden="false" customHeight="true" outlineLevel="0" collapsed="false">
      <c r="A56" s="14" t="s">
        <v>1851</v>
      </c>
      <c r="B56" s="15" t="n">
        <v>120</v>
      </c>
      <c r="C56" s="16" t="s">
        <v>123</v>
      </c>
      <c r="D56" s="17"/>
      <c r="E56" s="17"/>
      <c r="F56" s="16" t="s">
        <v>1810</v>
      </c>
    </row>
    <row r="57" customFormat="false" ht="15" hidden="false" customHeight="true" outlineLevel="0" collapsed="false">
      <c r="A57" s="14" t="s">
        <v>1852</v>
      </c>
      <c r="B57" s="15" t="n">
        <v>80</v>
      </c>
      <c r="C57" s="16" t="s">
        <v>123</v>
      </c>
      <c r="D57" s="17"/>
      <c r="E57" s="17"/>
      <c r="F57" s="16" t="s">
        <v>1810</v>
      </c>
    </row>
    <row r="58" customFormat="false" ht="15" hidden="false" customHeight="true" outlineLevel="0" collapsed="false">
      <c r="A58" s="14" t="s">
        <v>1853</v>
      </c>
      <c r="B58" s="15" t="n">
        <v>90</v>
      </c>
      <c r="C58" s="16" t="s">
        <v>123</v>
      </c>
      <c r="D58" s="17"/>
      <c r="E58" s="17"/>
      <c r="F58" s="16" t="s">
        <v>1810</v>
      </c>
    </row>
    <row r="59" customFormat="false" ht="15" hidden="false" customHeight="true" outlineLevel="0" collapsed="false">
      <c r="A59" s="14" t="s">
        <v>1854</v>
      </c>
      <c r="B59" s="15" t="n">
        <v>130</v>
      </c>
      <c r="C59" s="16" t="s">
        <v>123</v>
      </c>
      <c r="D59" s="17"/>
      <c r="E59" s="17"/>
      <c r="F59" s="16" t="s">
        <v>1810</v>
      </c>
    </row>
    <row r="60" customFormat="false" ht="15" hidden="false" customHeight="true" outlineLevel="0" collapsed="false">
      <c r="A60" s="14" t="s">
        <v>1855</v>
      </c>
      <c r="B60" s="15" t="n">
        <v>85</v>
      </c>
      <c r="C60" s="16" t="s">
        <v>123</v>
      </c>
      <c r="D60" s="17"/>
      <c r="E60" s="17"/>
      <c r="F60" s="16" t="s">
        <v>1810</v>
      </c>
    </row>
    <row r="61" customFormat="false" ht="15" hidden="false" customHeight="true" outlineLevel="0" collapsed="false">
      <c r="A61" s="14" t="s">
        <v>1856</v>
      </c>
      <c r="B61" s="19" t="n">
        <f aca="false">ABS($B$55-$B$58)+ABS($B$56-$B$59)+ABS($B$57-$B$60)</f>
        <v>25</v>
      </c>
      <c r="C61" s="16" t="s">
        <v>123</v>
      </c>
      <c r="D61" s="20" t="n">
        <v>25</v>
      </c>
      <c r="E61" s="21" t="str">
        <f aca="false">IF(ABS(B61-D61)&lt;=0.5,"OK","DIVERSO")</f>
        <v>OK</v>
      </c>
      <c r="F61" s="16" t="s">
        <v>1810</v>
      </c>
    </row>
    <row r="62" customFormat="false" ht="15" hidden="false" customHeight="true" outlineLevel="0" collapsed="false">
      <c r="A62" s="14" t="s">
        <v>1857</v>
      </c>
      <c r="B62" s="19" t="n">
        <f aca="false">ABS($B$55)+ABS($B$56)+ABS($B$57)</f>
        <v>300</v>
      </c>
      <c r="C62" s="16" t="s">
        <v>123</v>
      </c>
      <c r="D62" s="20" t="n">
        <v>300</v>
      </c>
      <c r="E62" s="21" t="str">
        <f aca="false">IF(ABS(B62-D62)&lt;=0.5,"OK","DIVERSO")</f>
        <v>OK</v>
      </c>
      <c r="F62" s="16" t="s">
        <v>1810</v>
      </c>
    </row>
    <row r="63" customFormat="false" ht="15" hidden="false" customHeight="true" outlineLevel="0" collapsed="false">
      <c r="A63" s="14" t="s">
        <v>1858</v>
      </c>
      <c r="B63" s="34" t="n">
        <f aca="false">$B$61/$B$62</f>
        <v>0.0833333333333333</v>
      </c>
      <c r="C63" s="16" t="s">
        <v>319</v>
      </c>
      <c r="D63" s="35" t="n">
        <v>0.0833</v>
      </c>
      <c r="E63" s="21" t="str">
        <f aca="false">IF(ABS(B63-D63)&lt;=0.00005,"OK","DIVERSO")</f>
        <v>OK</v>
      </c>
      <c r="F63" s="16" t="s">
        <v>1810</v>
      </c>
    </row>
    <row r="64" customFormat="false" ht="15" hidden="false" customHeight="true" outlineLevel="0" collapsed="false">
      <c r="A64" s="14" t="s">
        <v>1859</v>
      </c>
      <c r="B64" s="34" t="n">
        <f aca="false">1-$B$63</f>
        <v>0.916666666666667</v>
      </c>
      <c r="C64" s="16" t="s">
        <v>319</v>
      </c>
      <c r="D64" s="35" t="n">
        <v>0.9167</v>
      </c>
      <c r="E64" s="21" t="str">
        <f aca="false">IF(ABS(B64-D64)&lt;=0.00005,"OK","DIVERSO")</f>
        <v>OK</v>
      </c>
      <c r="F64" s="16" t="s">
        <v>1810</v>
      </c>
    </row>
    <row r="65" customFormat="false" ht="15" hidden="false" customHeight="true" outlineLevel="0" collapsed="false">
      <c r="A65" s="14" t="s">
        <v>1860</v>
      </c>
      <c r="B65" s="34" t="n">
        <f aca="false">(($B$58-$B$55)+($B$59-$B$56)+($B$60-$B$57))/$B$62</f>
        <v>0.0166666666666667</v>
      </c>
      <c r="C65" s="16" t="s">
        <v>319</v>
      </c>
      <c r="D65" s="35" t="n">
        <v>0.0167</v>
      </c>
      <c r="E65" s="21" t="str">
        <f aca="false">IF(ABS(B65-D65)&lt;=0.00005,"OK","DIVERSO")</f>
        <v>OK</v>
      </c>
      <c r="F65" s="16" t="s">
        <v>1810</v>
      </c>
    </row>
    <row r="66" customFormat="false" ht="15" hidden="false" customHeight="true" outlineLevel="0" collapsed="false"/>
    <row r="67" customFormat="false" ht="15" hidden="false" customHeight="true" outlineLevel="0" collapsed="false">
      <c r="A67" s="13" t="s">
        <v>1861</v>
      </c>
      <c r="B67" s="13"/>
      <c r="C67" s="13"/>
      <c r="D67" s="13"/>
      <c r="E67" s="13"/>
      <c r="F67" s="13"/>
    </row>
    <row r="68" customFormat="false" ht="15" hidden="false" customHeight="true" outlineLevel="0" collapsed="false">
      <c r="A68" s="22" t="s">
        <v>1862</v>
      </c>
      <c r="B68" s="22"/>
      <c r="C68" s="22"/>
      <c r="D68" s="22"/>
      <c r="E68" s="22"/>
      <c r="F68" s="22"/>
    </row>
    <row r="69" customFormat="false" ht="15" hidden="false" customHeight="true" outlineLevel="0" collapsed="false">
      <c r="A69" s="6" t="s">
        <v>116</v>
      </c>
      <c r="B69" s="6" t="s">
        <v>117</v>
      </c>
      <c r="C69" s="6" t="s">
        <v>118</v>
      </c>
      <c r="D69" s="6" t="s">
        <v>119</v>
      </c>
      <c r="E69" s="6" t="s">
        <v>120</v>
      </c>
      <c r="F69" s="6" t="s">
        <v>121</v>
      </c>
    </row>
    <row r="70" customFormat="false" ht="15" hidden="false" customHeight="true" outlineLevel="0" collapsed="false">
      <c r="A70" s="14" t="s">
        <v>1863</v>
      </c>
      <c r="B70" s="15" t="n">
        <v>365</v>
      </c>
      <c r="C70" s="16" t="s">
        <v>1864</v>
      </c>
      <c r="D70" s="17"/>
      <c r="E70" s="17"/>
      <c r="F70" s="16" t="s">
        <v>1810</v>
      </c>
    </row>
    <row r="71" customFormat="false" ht="15" hidden="false" customHeight="true" outlineLevel="0" collapsed="false">
      <c r="A71" s="14" t="s">
        <v>1865</v>
      </c>
      <c r="B71" s="15" t="n">
        <v>120000</v>
      </c>
      <c r="C71" s="16" t="s">
        <v>140</v>
      </c>
      <c r="D71" s="17"/>
      <c r="E71" s="17"/>
      <c r="F71" s="16" t="s">
        <v>1810</v>
      </c>
    </row>
    <row r="72" customFormat="false" ht="15" hidden="false" customHeight="true" outlineLevel="0" collapsed="false">
      <c r="A72" s="14" t="s">
        <v>1866</v>
      </c>
      <c r="B72" s="15" t="n">
        <v>900000</v>
      </c>
      <c r="C72" s="16" t="s">
        <v>140</v>
      </c>
      <c r="D72" s="17"/>
      <c r="E72" s="17"/>
      <c r="F72" s="16" t="s">
        <v>1810</v>
      </c>
    </row>
    <row r="73" customFormat="false" ht="15" hidden="false" customHeight="true" outlineLevel="0" collapsed="false">
      <c r="A73" s="14" t="s">
        <v>1867</v>
      </c>
      <c r="B73" s="23" t="n">
        <f aca="false">$B$71/$B$72*$B$70</f>
        <v>48.6666666666667</v>
      </c>
      <c r="C73" s="16" t="s">
        <v>1864</v>
      </c>
      <c r="D73" s="24" t="n">
        <v>48.67</v>
      </c>
      <c r="E73" s="21" t="str">
        <f aca="false">IF(ABS(B73-D73)&lt;=0.005,"OK","DIVERSO")</f>
        <v>OK</v>
      </c>
      <c r="F73" s="16" t="s">
        <v>1810</v>
      </c>
    </row>
    <row r="74" customFormat="false" ht="15" hidden="false" customHeight="true" outlineLevel="0" collapsed="false">
      <c r="A74" s="14" t="s">
        <v>1868</v>
      </c>
      <c r="B74" s="15" t="n">
        <v>150000</v>
      </c>
      <c r="C74" s="16" t="s">
        <v>140</v>
      </c>
      <c r="D74" s="17"/>
      <c r="E74" s="17"/>
      <c r="F74" s="16" t="s">
        <v>1810</v>
      </c>
    </row>
    <row r="75" customFormat="false" ht="15" hidden="false" customHeight="true" outlineLevel="0" collapsed="false">
      <c r="A75" s="14" t="s">
        <v>1869</v>
      </c>
      <c r="B75" s="15" t="n">
        <v>900000</v>
      </c>
      <c r="C75" s="16" t="s">
        <v>140</v>
      </c>
      <c r="D75" s="17"/>
      <c r="E75" s="17"/>
      <c r="F75" s="16" t="s">
        <v>1810</v>
      </c>
    </row>
    <row r="76" customFormat="false" ht="15" hidden="false" customHeight="true" outlineLevel="0" collapsed="false">
      <c r="A76" s="14" t="s">
        <v>1870</v>
      </c>
      <c r="B76" s="23" t="n">
        <f aca="false">$B$74/$B$75*$B$70</f>
        <v>60.8333333333333</v>
      </c>
      <c r="C76" s="16" t="s">
        <v>1864</v>
      </c>
      <c r="D76" s="24" t="n">
        <v>60.83</v>
      </c>
      <c r="E76" s="21" t="str">
        <f aca="false">IF(ABS(B76-D76)&lt;=0.005,"OK","DIVERSO")</f>
        <v>OK</v>
      </c>
      <c r="F76" s="16" t="s">
        <v>1810</v>
      </c>
    </row>
    <row r="77" customFormat="false" ht="15" hidden="false" customHeight="true" outlineLevel="0" collapsed="false">
      <c r="A77" s="14" t="s">
        <v>1871</v>
      </c>
      <c r="B77" s="15" t="n">
        <v>100000</v>
      </c>
      <c r="C77" s="16" t="s">
        <v>140</v>
      </c>
      <c r="D77" s="17"/>
      <c r="E77" s="17"/>
      <c r="F77" s="16" t="s">
        <v>1810</v>
      </c>
    </row>
    <row r="78" customFormat="false" ht="15" hidden="false" customHeight="true" outlineLevel="0" collapsed="false">
      <c r="A78" s="14" t="s">
        <v>1872</v>
      </c>
      <c r="B78" s="15" t="n">
        <v>730000</v>
      </c>
      <c r="C78" s="16" t="s">
        <v>140</v>
      </c>
      <c r="D78" s="17"/>
      <c r="E78" s="17"/>
      <c r="F78" s="16" t="s">
        <v>1810</v>
      </c>
    </row>
    <row r="79" customFormat="false" ht="15" hidden="false" customHeight="true" outlineLevel="0" collapsed="false">
      <c r="A79" s="14" t="s">
        <v>1873</v>
      </c>
      <c r="B79" s="23" t="n">
        <f aca="false">$B$77/$B$78*$B$70</f>
        <v>50</v>
      </c>
      <c r="C79" s="16" t="s">
        <v>1864</v>
      </c>
      <c r="D79" s="24" t="n">
        <v>50</v>
      </c>
      <c r="E79" s="21" t="str">
        <f aca="false">IF(ABS(B79-D79)&lt;=0.005,"OK","DIVERSO")</f>
        <v>OK</v>
      </c>
      <c r="F79" s="16" t="s">
        <v>1810</v>
      </c>
    </row>
    <row r="80" customFormat="false" ht="15" hidden="false" customHeight="true" outlineLevel="0" collapsed="false">
      <c r="A80" s="14" t="s">
        <v>1874</v>
      </c>
      <c r="B80" s="23" t="n">
        <f aca="false">$B$73+$B$76-$B$79</f>
        <v>59.5</v>
      </c>
      <c r="C80" s="16" t="s">
        <v>1864</v>
      </c>
      <c r="D80" s="24" t="n">
        <v>59.5</v>
      </c>
      <c r="E80" s="21" t="str">
        <f aca="false">IF(ABS(B80-D80)&lt;=0.005,"OK","DIVERSO")</f>
        <v>OK</v>
      </c>
      <c r="F80" s="16" t="s">
        <v>1810</v>
      </c>
    </row>
    <row r="81" customFormat="false" ht="15" hidden="false" customHeight="true" outlineLevel="0" collapsed="false"/>
    <row r="82" customFormat="false" ht="15" hidden="false" customHeight="true" outlineLevel="0" collapsed="false">
      <c r="A82" s="13" t="s">
        <v>1875</v>
      </c>
      <c r="B82" s="13"/>
      <c r="C82" s="13"/>
      <c r="D82" s="13"/>
      <c r="E82" s="13"/>
      <c r="F82" s="13"/>
    </row>
    <row r="83" customFormat="false" ht="15" hidden="false" customHeight="true" outlineLevel="0" collapsed="false">
      <c r="A83" s="22" t="s">
        <v>1876</v>
      </c>
      <c r="B83" s="22"/>
      <c r="C83" s="22"/>
      <c r="D83" s="22"/>
      <c r="E83" s="22"/>
      <c r="F83" s="22"/>
    </row>
    <row r="84" customFormat="false" ht="15" hidden="false" customHeight="true" outlineLevel="0" collapsed="false">
      <c r="A84" s="6" t="s">
        <v>116</v>
      </c>
      <c r="B84" s="6" t="s">
        <v>117</v>
      </c>
      <c r="C84" s="6" t="s">
        <v>118</v>
      </c>
      <c r="D84" s="6" t="s">
        <v>119</v>
      </c>
      <c r="E84" s="6" t="s">
        <v>120</v>
      </c>
      <c r="F84" s="6" t="s">
        <v>121</v>
      </c>
    </row>
    <row r="85" customFormat="false" ht="15" hidden="false" customHeight="true" outlineLevel="0" collapsed="false">
      <c r="A85" s="14" t="s">
        <v>1877</v>
      </c>
      <c r="B85" s="15" t="n">
        <v>1200000</v>
      </c>
      <c r="C85" s="16" t="s">
        <v>140</v>
      </c>
      <c r="D85" s="17"/>
      <c r="E85" s="17"/>
      <c r="F85" s="16" t="s">
        <v>1810</v>
      </c>
    </row>
    <row r="86" customFormat="false" ht="15" hidden="false" customHeight="true" outlineLevel="0" collapsed="false">
      <c r="A86" s="14" t="s">
        <v>1878</v>
      </c>
      <c r="B86" s="15" t="n">
        <v>1100000</v>
      </c>
      <c r="C86" s="16" t="s">
        <v>140</v>
      </c>
      <c r="D86" s="17"/>
      <c r="E86" s="17"/>
      <c r="F86" s="16" t="s">
        <v>1810</v>
      </c>
    </row>
    <row r="87" customFormat="false" ht="15" hidden="false" customHeight="true" outlineLevel="0" collapsed="false">
      <c r="A87" s="14" t="s">
        <v>1879</v>
      </c>
      <c r="B87" s="34" t="n">
        <f aca="false">($B$85-$B$86)/$B$86</f>
        <v>0.0909090909090909</v>
      </c>
      <c r="C87" s="16" t="s">
        <v>319</v>
      </c>
      <c r="D87" s="35" t="n">
        <v>0.0909</v>
      </c>
      <c r="E87" s="21" t="str">
        <f aca="false">IF(ABS(B87-D87)&lt;=0.00005,"OK","DIVERSO")</f>
        <v>OK</v>
      </c>
      <c r="F87" s="16" t="s">
        <v>1810</v>
      </c>
    </row>
    <row r="88" customFormat="false" ht="15" hidden="false" customHeight="true" outlineLevel="0" collapsed="false">
      <c r="A88" s="14" t="s">
        <v>1880</v>
      </c>
      <c r="B88" s="15" t="n">
        <v>500000</v>
      </c>
      <c r="C88" s="16" t="s">
        <v>140</v>
      </c>
      <c r="D88" s="17"/>
      <c r="E88" s="17"/>
      <c r="F88" s="16" t="s">
        <v>1810</v>
      </c>
    </row>
    <row r="89" customFormat="false" ht="15" hidden="false" customHeight="true" outlineLevel="0" collapsed="false">
      <c r="A89" s="14" t="s">
        <v>1881</v>
      </c>
      <c r="B89" s="15" t="n">
        <v>10000</v>
      </c>
      <c r="C89" s="16" t="s">
        <v>123</v>
      </c>
      <c r="D89" s="17"/>
      <c r="E89" s="17"/>
      <c r="F89" s="16" t="s">
        <v>1810</v>
      </c>
    </row>
    <row r="90" customFormat="false" ht="15" hidden="false" customHeight="true" outlineLevel="0" collapsed="false">
      <c r="A90" s="14" t="s">
        <v>1882</v>
      </c>
      <c r="B90" s="19" t="n">
        <f aca="false">$B$88/$B$89</f>
        <v>50</v>
      </c>
      <c r="C90" s="16" t="s">
        <v>126</v>
      </c>
      <c r="D90" s="20" t="n">
        <v>50</v>
      </c>
      <c r="E90" s="21" t="str">
        <f aca="false">IF(ABS(B90-D90)&lt;=0.5,"OK","DIVERSO")</f>
        <v>OK</v>
      </c>
      <c r="F90" s="16" t="s">
        <v>1810</v>
      </c>
    </row>
    <row r="91" customFormat="false" ht="15" hidden="false" customHeight="true" outlineLevel="0" collapsed="false">
      <c r="A91" s="14" t="s">
        <v>1883</v>
      </c>
      <c r="B91" s="15" t="n">
        <v>60000</v>
      </c>
      <c r="C91" s="16" t="s">
        <v>140</v>
      </c>
      <c r="D91" s="17"/>
      <c r="E91" s="17"/>
      <c r="F91" s="16" t="s">
        <v>1810</v>
      </c>
    </row>
    <row r="92" customFormat="false" ht="15" hidden="false" customHeight="true" outlineLevel="0" collapsed="false">
      <c r="A92" s="14" t="s">
        <v>1884</v>
      </c>
      <c r="B92" s="15" t="n">
        <v>600000</v>
      </c>
      <c r="C92" s="16" t="s">
        <v>140</v>
      </c>
      <c r="D92" s="17"/>
      <c r="E92" s="17"/>
      <c r="F92" s="16" t="s">
        <v>1810</v>
      </c>
    </row>
    <row r="93" customFormat="false" ht="15" hidden="false" customHeight="true" outlineLevel="0" collapsed="false">
      <c r="A93" s="14" t="s">
        <v>1885</v>
      </c>
      <c r="B93" s="34" t="n">
        <f aca="false">$B$91/$B$92</f>
        <v>0.1</v>
      </c>
      <c r="C93" s="16" t="s">
        <v>319</v>
      </c>
      <c r="D93" s="35" t="n">
        <v>0.1</v>
      </c>
      <c r="E93" s="21" t="str">
        <f aca="false">IF(ABS(B93-D93)&lt;=0.00005,"OK","DIVERSO")</f>
        <v>OK</v>
      </c>
      <c r="F93" s="16" t="s">
        <v>1810</v>
      </c>
    </row>
    <row r="94" customFormat="false" ht="15" hidden="false" customHeight="true" outlineLevel="0" collapsed="false">
      <c r="A94" s="14" t="s">
        <v>1886</v>
      </c>
      <c r="B94" s="15" t="n">
        <v>250000</v>
      </c>
      <c r="C94" s="16" t="s">
        <v>140</v>
      </c>
      <c r="D94" s="17"/>
      <c r="E94" s="17"/>
      <c r="F94" s="16" t="s">
        <v>1810</v>
      </c>
    </row>
    <row r="95" customFormat="false" ht="15" hidden="false" customHeight="true" outlineLevel="0" collapsed="false">
      <c r="A95" s="14" t="s">
        <v>1887</v>
      </c>
      <c r="B95" s="15" t="n">
        <v>165000</v>
      </c>
      <c r="C95" s="16" t="s">
        <v>140</v>
      </c>
      <c r="D95" s="17"/>
      <c r="E95" s="17"/>
      <c r="F95" s="16" t="s">
        <v>1810</v>
      </c>
    </row>
    <row r="96" customFormat="false" ht="15" hidden="false" customHeight="true" outlineLevel="0" collapsed="false">
      <c r="A96" s="14" t="s">
        <v>1888</v>
      </c>
      <c r="B96" s="19" t="n">
        <f aca="false">$B$94-$B$95</f>
        <v>85000</v>
      </c>
      <c r="C96" s="16" t="s">
        <v>140</v>
      </c>
      <c r="D96" s="20" t="n">
        <v>85000</v>
      </c>
      <c r="E96" s="21" t="str">
        <f aca="false">IF(ABS(B96-D96)&lt;=0.5,"OK","DIVERSO")</f>
        <v>OK</v>
      </c>
      <c r="F96" s="16" t="s">
        <v>1810</v>
      </c>
    </row>
    <row r="97" customFormat="false" ht="15" hidden="false" customHeight="true" outlineLevel="0" collapsed="false">
      <c r="A97" s="14" t="s">
        <v>1889</v>
      </c>
      <c r="B97" s="34" t="n">
        <f aca="false">$B$96/$B$94</f>
        <v>0.34</v>
      </c>
      <c r="C97" s="16" t="s">
        <v>319</v>
      </c>
      <c r="D97" s="35" t="n">
        <v>0.34</v>
      </c>
      <c r="E97" s="21" t="str">
        <f aca="false">IF(ABS(B97-D97)&lt;=0.00005,"OK","DIVERSO")</f>
        <v>OK</v>
      </c>
      <c r="F97" s="16" t="s">
        <v>1810</v>
      </c>
    </row>
    <row r="98" customFormat="false" ht="15" hidden="false" customHeight="true" outlineLevel="0" collapsed="false"/>
    <row r="99" customFormat="false" ht="15" hidden="false" customHeight="true" outlineLevel="0" collapsed="false">
      <c r="A99" s="13" t="s">
        <v>1890</v>
      </c>
      <c r="B99" s="13"/>
      <c r="C99" s="13"/>
      <c r="D99" s="13"/>
      <c r="E99" s="13"/>
      <c r="F99" s="13"/>
    </row>
    <row r="100" customFormat="false" ht="15" hidden="false" customHeight="true" outlineLevel="0" collapsed="false">
      <c r="A100" s="22" t="s">
        <v>1891</v>
      </c>
      <c r="B100" s="22"/>
      <c r="C100" s="22"/>
      <c r="D100" s="22"/>
      <c r="E100" s="22"/>
      <c r="F100" s="22"/>
    </row>
    <row r="101" customFormat="false" ht="15" hidden="false" customHeight="true" outlineLevel="0" collapsed="false">
      <c r="A101" s="6" t="s">
        <v>116</v>
      </c>
      <c r="B101" s="6" t="s">
        <v>117</v>
      </c>
      <c r="C101" s="6" t="s">
        <v>118</v>
      </c>
      <c r="D101" s="6" t="s">
        <v>119</v>
      </c>
      <c r="E101" s="6" t="s">
        <v>120</v>
      </c>
      <c r="F101" s="6" t="s">
        <v>121</v>
      </c>
    </row>
    <row r="102" customFormat="false" ht="15" hidden="false" customHeight="true" outlineLevel="0" collapsed="false">
      <c r="A102" s="14" t="s">
        <v>1892</v>
      </c>
      <c r="B102" s="15" t="n">
        <v>1440</v>
      </c>
      <c r="C102" s="16" t="s">
        <v>144</v>
      </c>
      <c r="D102" s="17"/>
      <c r="E102" s="17"/>
      <c r="F102" s="16" t="s">
        <v>1810</v>
      </c>
    </row>
    <row r="103" customFormat="false" ht="15" hidden="false" customHeight="true" outlineLevel="0" collapsed="false">
      <c r="A103" s="14" t="s">
        <v>1893</v>
      </c>
      <c r="B103" s="15" t="n">
        <v>1800</v>
      </c>
      <c r="C103" s="16" t="s">
        <v>144</v>
      </c>
      <c r="D103" s="17"/>
      <c r="E103" s="17"/>
      <c r="F103" s="16" t="s">
        <v>1810</v>
      </c>
    </row>
    <row r="104" customFormat="false" ht="15" hidden="false" customHeight="true" outlineLevel="0" collapsed="false">
      <c r="A104" s="14" t="s">
        <v>1894</v>
      </c>
      <c r="B104" s="34" t="n">
        <f aca="false">$B$102/$B$103</f>
        <v>0.8</v>
      </c>
      <c r="C104" s="16" t="s">
        <v>319</v>
      </c>
      <c r="D104" s="35" t="n">
        <v>0.8</v>
      </c>
      <c r="E104" s="21" t="str">
        <f aca="false">IF(ABS(B104-D104)&lt;=0.00005,"OK","DIVERSO")</f>
        <v>OK</v>
      </c>
      <c r="F104" s="16" t="s">
        <v>1810</v>
      </c>
    </row>
    <row r="105" customFormat="false" ht="15" hidden="false" customHeight="true" outlineLevel="0" collapsed="false">
      <c r="A105" s="14" t="s">
        <v>1895</v>
      </c>
      <c r="B105" s="15" t="n">
        <v>4800</v>
      </c>
      <c r="C105" s="16" t="s">
        <v>123</v>
      </c>
      <c r="D105" s="17"/>
      <c r="E105" s="17"/>
      <c r="F105" s="16" t="s">
        <v>1810</v>
      </c>
    </row>
    <row r="106" customFormat="false" ht="15" hidden="false" customHeight="true" outlineLevel="0" collapsed="false">
      <c r="A106" s="14" t="s">
        <v>1896</v>
      </c>
      <c r="B106" s="15" t="n">
        <v>1200</v>
      </c>
      <c r="C106" s="16" t="s">
        <v>144</v>
      </c>
      <c r="D106" s="17"/>
      <c r="E106" s="17"/>
      <c r="F106" s="16" t="s">
        <v>1810</v>
      </c>
    </row>
    <row r="107" customFormat="false" ht="15" hidden="false" customHeight="true" outlineLevel="0" collapsed="false">
      <c r="A107" s="14" t="s">
        <v>1897</v>
      </c>
      <c r="B107" s="19" t="n">
        <f aca="false">$B$105/$B$106</f>
        <v>4</v>
      </c>
      <c r="C107" s="16" t="s">
        <v>1898</v>
      </c>
      <c r="D107" s="20" t="n">
        <v>4</v>
      </c>
      <c r="E107" s="21" t="str">
        <f aca="false">IF(ABS(B107-D107)&lt;=0.5,"OK","DIVERSO")</f>
        <v>OK</v>
      </c>
      <c r="F107" s="16" t="s">
        <v>1810</v>
      </c>
    </row>
    <row r="108" customFormat="false" ht="15" hidden="false" customHeight="true" outlineLevel="0" collapsed="false">
      <c r="A108" s="14" t="s">
        <v>1899</v>
      </c>
      <c r="B108" s="15" t="n">
        <v>300000</v>
      </c>
      <c r="C108" s="16" t="s">
        <v>140</v>
      </c>
      <c r="D108" s="17"/>
      <c r="E108" s="17"/>
      <c r="F108" s="16" t="s">
        <v>1810</v>
      </c>
    </row>
    <row r="109" customFormat="false" ht="15" hidden="false" customHeight="true" outlineLevel="0" collapsed="false">
      <c r="A109" s="14" t="s">
        <v>1900</v>
      </c>
      <c r="B109" s="15" t="n">
        <v>12000</v>
      </c>
      <c r="C109" s="16" t="s">
        <v>123</v>
      </c>
      <c r="D109" s="17"/>
      <c r="E109" s="17"/>
      <c r="F109" s="16" t="s">
        <v>1810</v>
      </c>
    </row>
    <row r="110" customFormat="false" ht="15" hidden="false" customHeight="true" outlineLevel="0" collapsed="false">
      <c r="A110" s="14" t="s">
        <v>1901</v>
      </c>
      <c r="B110" s="19" t="n">
        <f aca="false">$B$108/$B$109</f>
        <v>25</v>
      </c>
      <c r="C110" s="16" t="s">
        <v>126</v>
      </c>
      <c r="D110" s="20" t="n">
        <v>25</v>
      </c>
      <c r="E110" s="21" t="str">
        <f aca="false">IF(ABS(B110-D110)&lt;=0.5,"OK","DIVERSO")</f>
        <v>OK</v>
      </c>
      <c r="F110" s="16" t="s">
        <v>1810</v>
      </c>
    </row>
    <row r="111" customFormat="false" ht="15" hidden="false" customHeight="true" outlineLevel="0" collapsed="false">
      <c r="A111" s="14" t="s">
        <v>1902</v>
      </c>
      <c r="B111" s="15" t="n">
        <v>12000</v>
      </c>
      <c r="C111" s="16" t="s">
        <v>123</v>
      </c>
      <c r="D111" s="17"/>
      <c r="E111" s="17"/>
      <c r="F111" s="16" t="s">
        <v>1810</v>
      </c>
    </row>
    <row r="112" customFormat="false" ht="15" hidden="false" customHeight="true" outlineLevel="0" collapsed="false">
      <c r="A112" s="14" t="s">
        <v>1903</v>
      </c>
      <c r="B112" s="15" t="n">
        <v>240</v>
      </c>
      <c r="C112" s="16" t="s">
        <v>123</v>
      </c>
      <c r="D112" s="17"/>
      <c r="E112" s="17"/>
      <c r="F112" s="16" t="s">
        <v>1810</v>
      </c>
    </row>
    <row r="113" customFormat="false" ht="15" hidden="false" customHeight="true" outlineLevel="0" collapsed="false">
      <c r="A113" s="14" t="s">
        <v>1904</v>
      </c>
      <c r="B113" s="34" t="n">
        <f aca="false">$B$112/$B$111</f>
        <v>0.02</v>
      </c>
      <c r="C113" s="16" t="s">
        <v>319</v>
      </c>
      <c r="D113" s="35" t="n">
        <v>0.02</v>
      </c>
      <c r="E113" s="21" t="str">
        <f aca="false">IF(ABS(B113-D113)&lt;=0.00005,"OK","DIVERSO")</f>
        <v>OK</v>
      </c>
      <c r="F113" s="16" t="s">
        <v>1810</v>
      </c>
    </row>
    <row r="114" customFormat="false" ht="15" hidden="false" customHeight="true" outlineLevel="0" collapsed="false">
      <c r="A114" s="14" t="s">
        <v>1905</v>
      </c>
      <c r="B114" s="15" t="n">
        <v>180</v>
      </c>
      <c r="C114" s="16" t="s">
        <v>123</v>
      </c>
      <c r="D114" s="17"/>
      <c r="E114" s="17"/>
      <c r="F114" s="16" t="s">
        <v>1810</v>
      </c>
    </row>
    <row r="115" customFormat="false" ht="15" hidden="false" customHeight="true" outlineLevel="0" collapsed="false">
      <c r="A115" s="14" t="s">
        <v>1906</v>
      </c>
      <c r="B115" s="34" t="n">
        <f aca="false">$B$114/$B$111</f>
        <v>0.015</v>
      </c>
      <c r="C115" s="16" t="s">
        <v>319</v>
      </c>
      <c r="D115" s="35" t="n">
        <v>0.015</v>
      </c>
      <c r="E115" s="21" t="str">
        <f aca="false">IF(ABS(B115-D115)&lt;=0.00005,"OK","DIVERSO")</f>
        <v>OK</v>
      </c>
      <c r="F115" s="16" t="s">
        <v>1810</v>
      </c>
    </row>
    <row r="116" customFormat="false" ht="15" hidden="false" customHeight="true" outlineLevel="0" collapsed="false"/>
    <row r="117" customFormat="false" ht="15" hidden="false" customHeight="true" outlineLevel="0" collapsed="false">
      <c r="A117" s="13" t="s">
        <v>1907</v>
      </c>
      <c r="B117" s="13"/>
      <c r="C117" s="13"/>
      <c r="D117" s="13"/>
      <c r="E117" s="13"/>
      <c r="F117" s="13"/>
    </row>
    <row r="118" customFormat="false" ht="30" hidden="false" customHeight="true" outlineLevel="0" collapsed="false">
      <c r="A118" s="22" t="s">
        <v>1908</v>
      </c>
      <c r="B118" s="22"/>
      <c r="C118" s="22"/>
      <c r="D118" s="22"/>
      <c r="E118" s="22"/>
      <c r="F118" s="22"/>
    </row>
    <row r="119" customFormat="false" ht="15" hidden="false" customHeight="true" outlineLevel="0" collapsed="false">
      <c r="A119" s="6" t="s">
        <v>116</v>
      </c>
      <c r="B119" s="6" t="s">
        <v>117</v>
      </c>
      <c r="C119" s="6" t="s">
        <v>118</v>
      </c>
      <c r="D119" s="6" t="s">
        <v>119</v>
      </c>
      <c r="E119" s="6" t="s">
        <v>120</v>
      </c>
      <c r="F119" s="6" t="s">
        <v>121</v>
      </c>
    </row>
    <row r="120" customFormat="false" ht="15" hidden="false" customHeight="true" outlineLevel="0" collapsed="false">
      <c r="A120" s="14" t="s">
        <v>1909</v>
      </c>
      <c r="B120" s="15" t="n">
        <v>466600</v>
      </c>
      <c r="C120" s="16" t="s">
        <v>140</v>
      </c>
      <c r="D120" s="17"/>
      <c r="E120" s="17"/>
      <c r="F120" s="16" t="s">
        <v>124</v>
      </c>
    </row>
    <row r="121" customFormat="false" ht="15" hidden="false" customHeight="true" outlineLevel="0" collapsed="false">
      <c r="A121" s="14" t="s">
        <v>1910</v>
      </c>
      <c r="B121" s="15" t="n">
        <v>646600</v>
      </c>
      <c r="C121" s="16" t="s">
        <v>140</v>
      </c>
      <c r="D121" s="17"/>
      <c r="E121" s="17"/>
      <c r="F121" s="16" t="s">
        <v>124</v>
      </c>
    </row>
    <row r="122" customFormat="false" ht="15" hidden="false" customHeight="true" outlineLevel="0" collapsed="false">
      <c r="A122" s="14" t="s">
        <v>1911</v>
      </c>
      <c r="B122" s="19" t="n">
        <f aca="false">($B$120+$B$121)/2</f>
        <v>556600</v>
      </c>
      <c r="C122" s="16" t="s">
        <v>140</v>
      </c>
      <c r="D122" s="20" t="n">
        <v>556600</v>
      </c>
      <c r="E122" s="21" t="str">
        <f aca="false">IF(ABS(B122-D122)&lt;=0.5,"OK","DIVERSO")</f>
        <v>OK</v>
      </c>
      <c r="F122" s="16" t="s">
        <v>124</v>
      </c>
    </row>
    <row r="123" customFormat="false" ht="15" hidden="false" customHeight="true" outlineLevel="0" collapsed="false">
      <c r="A123" s="14" t="s">
        <v>1912</v>
      </c>
      <c r="B123" s="15" t="n">
        <v>286500</v>
      </c>
      <c r="C123" s="16" t="s">
        <v>140</v>
      </c>
      <c r="D123" s="17"/>
      <c r="E123" s="17"/>
      <c r="F123" s="16" t="s">
        <v>124</v>
      </c>
    </row>
    <row r="124" customFormat="false" ht="15" hidden="false" customHeight="true" outlineLevel="0" collapsed="false">
      <c r="A124" s="14" t="s">
        <v>1913</v>
      </c>
      <c r="B124" s="15" t="n">
        <v>286500</v>
      </c>
      <c r="C124" s="16" t="s">
        <v>140</v>
      </c>
      <c r="D124" s="17"/>
      <c r="E124" s="17"/>
      <c r="F124" s="16" t="s">
        <v>124</v>
      </c>
    </row>
    <row r="125" customFormat="false" ht="15" hidden="false" customHeight="true" outlineLevel="0" collapsed="false">
      <c r="A125" s="14" t="s">
        <v>1914</v>
      </c>
      <c r="B125" s="15" t="n">
        <v>360000</v>
      </c>
      <c r="C125" s="16" t="s">
        <v>140</v>
      </c>
      <c r="D125" s="17"/>
      <c r="E125" s="17"/>
      <c r="F125" s="16" t="s">
        <v>124</v>
      </c>
    </row>
    <row r="126" customFormat="false" ht="15" hidden="false" customHeight="true" outlineLevel="0" collapsed="false">
      <c r="A126" s="14" t="s">
        <v>1915</v>
      </c>
      <c r="B126" s="15" t="n">
        <v>360000</v>
      </c>
      <c r="C126" s="16" t="s">
        <v>140</v>
      </c>
      <c r="D126" s="17"/>
      <c r="E126" s="17"/>
      <c r="F126" s="16" t="s">
        <v>124</v>
      </c>
    </row>
    <row r="127" customFormat="false" ht="15" hidden="false" customHeight="true" outlineLevel="0" collapsed="false">
      <c r="A127" s="14" t="s">
        <v>1916</v>
      </c>
      <c r="B127" s="15" t="n">
        <v>2190000</v>
      </c>
      <c r="C127" s="16" t="s">
        <v>140</v>
      </c>
      <c r="D127" s="17"/>
      <c r="E127" s="17"/>
      <c r="F127" s="16" t="s">
        <v>124</v>
      </c>
    </row>
    <row r="128" customFormat="false" ht="15" hidden="false" customHeight="true" outlineLevel="0" collapsed="false">
      <c r="A128" s="14" t="s">
        <v>1917</v>
      </c>
      <c r="B128" s="15" t="n">
        <v>516900</v>
      </c>
      <c r="C128" s="16" t="s">
        <v>140</v>
      </c>
      <c r="D128" s="17"/>
      <c r="E128" s="17"/>
      <c r="F128" s="16" t="s">
        <v>124</v>
      </c>
    </row>
    <row r="129" customFormat="false" ht="15" hidden="false" customHeight="true" outlineLevel="0" collapsed="false">
      <c r="A129" s="14" t="s">
        <v>1918</v>
      </c>
      <c r="B129" s="15" t="n">
        <v>516900</v>
      </c>
      <c r="C129" s="16" t="s">
        <v>140</v>
      </c>
      <c r="D129" s="17"/>
      <c r="E129" s="17"/>
      <c r="F129" s="16" t="s">
        <v>124</v>
      </c>
    </row>
    <row r="130" customFormat="false" ht="15" hidden="false" customHeight="true" outlineLevel="0" collapsed="false">
      <c r="A130" s="14" t="s">
        <v>1919</v>
      </c>
      <c r="B130" s="19" t="n">
        <f aca="false">Cap_01!$B$44</f>
        <v>74000</v>
      </c>
      <c r="C130" s="16" t="s">
        <v>140</v>
      </c>
      <c r="D130" s="17"/>
      <c r="E130" s="17"/>
      <c r="F130" s="16" t="s">
        <v>1920</v>
      </c>
    </row>
    <row r="131" customFormat="false" ht="15" hidden="false" customHeight="true" outlineLevel="0" collapsed="false">
      <c r="A131" s="14" t="s">
        <v>1921</v>
      </c>
      <c r="B131" s="19" t="n">
        <f aca="false">(($B$120+$B$123-$B$125+$B$128)+($B$121+$B$124-$B$126+$B$129))/2</f>
        <v>1000000</v>
      </c>
      <c r="C131" s="16" t="s">
        <v>140</v>
      </c>
      <c r="D131" s="20" t="n">
        <v>1000000</v>
      </c>
      <c r="E131" s="21" t="str">
        <f aca="false">IF(ABS(B131-D131)&lt;=0.5,"OK","DIVERSO")</f>
        <v>OK</v>
      </c>
      <c r="F131" s="16" t="s">
        <v>124</v>
      </c>
    </row>
    <row r="132" customFormat="false" ht="15" hidden="false" customHeight="true" outlineLevel="0" collapsed="false"/>
    <row r="133" customFormat="false" ht="15" hidden="false" customHeight="true" outlineLevel="0" collapsed="false">
      <c r="A133" s="13" t="s">
        <v>1922</v>
      </c>
      <c r="B133" s="13"/>
      <c r="C133" s="13"/>
      <c r="D133" s="13"/>
      <c r="E133" s="13"/>
      <c r="F133" s="13"/>
    </row>
    <row r="134" customFormat="false" ht="15" hidden="false" customHeight="true" outlineLevel="0" collapsed="false">
      <c r="A134" s="22" t="s">
        <v>1923</v>
      </c>
      <c r="B134" s="22"/>
      <c r="C134" s="22"/>
      <c r="D134" s="22"/>
      <c r="E134" s="22"/>
      <c r="F134" s="22"/>
    </row>
    <row r="135" customFormat="false" ht="15" hidden="false" customHeight="true" outlineLevel="0" collapsed="false">
      <c r="A135" s="6" t="s">
        <v>116</v>
      </c>
      <c r="B135" s="6" t="s">
        <v>117</v>
      </c>
      <c r="C135" s="6" t="s">
        <v>118</v>
      </c>
      <c r="D135" s="6" t="s">
        <v>119</v>
      </c>
      <c r="E135" s="6" t="s">
        <v>120</v>
      </c>
      <c r="F135" s="6" t="s">
        <v>121</v>
      </c>
    </row>
    <row r="136" customFormat="false" ht="15" hidden="false" customHeight="true" outlineLevel="0" collapsed="false">
      <c r="A136" s="14" t="s">
        <v>1924</v>
      </c>
      <c r="B136" s="26" t="n">
        <f aca="false">Impresa_guida!$B$42/Impresa_guida!$B$34</f>
        <v>0.0714707619610159</v>
      </c>
      <c r="C136" s="16" t="s">
        <v>319</v>
      </c>
      <c r="D136" s="27" t="n">
        <v>0.071</v>
      </c>
      <c r="E136" s="21" t="str">
        <f aca="false">IF(ABS(B136-D136)&lt;=0.0005,"OK","DIVERSO")</f>
        <v>OK</v>
      </c>
      <c r="F136" s="16" t="s">
        <v>1810</v>
      </c>
    </row>
    <row r="137" customFormat="false" ht="15" hidden="false" customHeight="true" outlineLevel="0" collapsed="false">
      <c r="A137" s="14" t="s">
        <v>1925</v>
      </c>
      <c r="B137" s="23" t="n">
        <f aca="false">Impresa_guida!$B$34/$B$131</f>
        <v>3.386</v>
      </c>
      <c r="C137" s="16" t="s">
        <v>518</v>
      </c>
      <c r="D137" s="24" t="n">
        <v>3.39</v>
      </c>
      <c r="E137" s="21" t="str">
        <f aca="false">IF(ABS(B137-D137)&lt;=0.005,"OK","DIVERSO")</f>
        <v>OK</v>
      </c>
      <c r="F137" s="16" t="s">
        <v>1810</v>
      </c>
    </row>
    <row r="138" customFormat="false" ht="15" hidden="false" customHeight="true" outlineLevel="0" collapsed="false">
      <c r="A138" s="14" t="s">
        <v>1926</v>
      </c>
      <c r="B138" s="26" t="n">
        <f aca="false">Impresa_guida!$B$42/$B$131</f>
        <v>0.242</v>
      </c>
      <c r="C138" s="16" t="s">
        <v>319</v>
      </c>
      <c r="D138" s="27" t="n">
        <v>0.242</v>
      </c>
      <c r="E138" s="21" t="str">
        <f aca="false">IF(ABS(B138-D138)&lt;=0.0005,"OK","DIVERSO")</f>
        <v>OK</v>
      </c>
      <c r="F138" s="16" t="s">
        <v>1810</v>
      </c>
    </row>
    <row r="139" customFormat="false" ht="15" hidden="false" customHeight="true" outlineLevel="0" collapsed="false">
      <c r="A139" s="14" t="s">
        <v>1927</v>
      </c>
      <c r="B139" s="26" t="n">
        <f aca="false">$B$136*$B$137</f>
        <v>0.242</v>
      </c>
      <c r="C139" s="16" t="s">
        <v>319</v>
      </c>
      <c r="D139" s="27" t="n">
        <v>0.242</v>
      </c>
      <c r="E139" s="21" t="str">
        <f aca="false">IF(ABS(B139-D139)&lt;=0.0005,"OK","DIVERSO")</f>
        <v>OK</v>
      </c>
      <c r="F139" s="16" t="s">
        <v>1810</v>
      </c>
    </row>
    <row r="140" customFormat="false" ht="15" hidden="false" customHeight="true" outlineLevel="0" collapsed="false">
      <c r="A140" s="14" t="s">
        <v>1928</v>
      </c>
      <c r="B140" s="23" t="n">
        <f aca="false">$B$122/Impresa_guida!$B$34*$B$70</f>
        <v>59.9997046662729</v>
      </c>
      <c r="C140" s="16" t="s">
        <v>1864</v>
      </c>
      <c r="D140" s="24" t="n">
        <v>60</v>
      </c>
      <c r="E140" s="21" t="str">
        <f aca="false">IF(ABS(B140-D140)&lt;=0.005,"OK","DIVERSO")</f>
        <v>OK</v>
      </c>
      <c r="F140" s="16" t="s">
        <v>1810</v>
      </c>
    </row>
    <row r="141" customFormat="false" ht="15" hidden="false" customHeight="true" outlineLevel="0" collapsed="false">
      <c r="A141" s="14" t="s">
        <v>1929</v>
      </c>
      <c r="B141" s="23" t="n">
        <f aca="false">AVERAGE($B$123,$B$124)/Impresa_guida!$B$35*$B$70</f>
        <v>44.9967728055077</v>
      </c>
      <c r="C141" s="16" t="s">
        <v>1864</v>
      </c>
      <c r="D141" s="24" t="n">
        <v>45</v>
      </c>
      <c r="E141" s="21" t="str">
        <f aca="false">IF(ABS(B141-D141)&lt;=0.005,"OK","DIVERSO")</f>
        <v>OK</v>
      </c>
      <c r="F141" s="16" t="s">
        <v>1810</v>
      </c>
    </row>
    <row r="142" customFormat="false" ht="15" hidden="false" customHeight="true" outlineLevel="0" collapsed="false">
      <c r="A142" s="14" t="s">
        <v>1930</v>
      </c>
      <c r="B142" s="23" t="n">
        <f aca="false">AVERAGE($B$125,$B$126)/$B$127*$B$70</f>
        <v>60</v>
      </c>
      <c r="C142" s="16" t="s">
        <v>1864</v>
      </c>
      <c r="D142" s="24" t="n">
        <v>60</v>
      </c>
      <c r="E142" s="21" t="str">
        <f aca="false">IF(ABS(B142-D142)&lt;=0.005,"OK","DIVERSO")</f>
        <v>OK</v>
      </c>
      <c r="F142" s="16" t="s">
        <v>1810</v>
      </c>
    </row>
    <row r="143" customFormat="false" ht="15" hidden="false" customHeight="true" outlineLevel="0" collapsed="false">
      <c r="A143" s="14" t="s">
        <v>1931</v>
      </c>
      <c r="B143" s="23" t="n">
        <f aca="false">$B$140+$B$141-$B$142</f>
        <v>44.9964774717806</v>
      </c>
      <c r="C143" s="16" t="s">
        <v>1864</v>
      </c>
      <c r="D143" s="24" t="n">
        <v>45</v>
      </c>
      <c r="E143" s="21" t="str">
        <f aca="false">IF(ABS(B143-D143)&lt;=0.005,"OK","DIVERSO")</f>
        <v>OK</v>
      </c>
      <c r="F143" s="16" t="s">
        <v>1810</v>
      </c>
    </row>
    <row r="144" customFormat="false" ht="45" hidden="false" customHeight="true" outlineLevel="0" collapsed="false">
      <c r="A144" s="36" t="s">
        <v>1932</v>
      </c>
      <c r="B144" s="37" t="s">
        <v>1933</v>
      </c>
      <c r="C144" s="37"/>
      <c r="D144" s="37"/>
      <c r="E144" s="37"/>
      <c r="F144" s="38"/>
    </row>
    <row r="145" customFormat="false" ht="15" hidden="false" customHeight="true" outlineLevel="0" collapsed="false"/>
    <row r="146" customFormat="false" ht="15" hidden="false" customHeight="true" outlineLevel="0" collapsed="false">
      <c r="A146" s="13" t="s">
        <v>1934</v>
      </c>
      <c r="B146" s="13"/>
      <c r="C146" s="13"/>
      <c r="D146" s="13"/>
      <c r="E146" s="13"/>
      <c r="F146" s="13"/>
    </row>
    <row r="147" customFormat="false" ht="60" hidden="false" customHeight="true" outlineLevel="0" collapsed="false">
      <c r="A147" s="22" t="s">
        <v>1935</v>
      </c>
      <c r="B147" s="22"/>
      <c r="C147" s="22"/>
      <c r="D147" s="22"/>
      <c r="E147" s="22"/>
      <c r="F147" s="22"/>
    </row>
    <row r="148" customFormat="false" ht="15" hidden="false" customHeight="true" outlineLevel="0" collapsed="false">
      <c r="A148" s="6" t="s">
        <v>116</v>
      </c>
      <c r="B148" s="6" t="s">
        <v>117</v>
      </c>
      <c r="C148" s="6" t="s">
        <v>118</v>
      </c>
      <c r="D148" s="6" t="s">
        <v>119</v>
      </c>
      <c r="E148" s="6" t="s">
        <v>120</v>
      </c>
      <c r="F148" s="6" t="s">
        <v>121</v>
      </c>
    </row>
    <row r="149" customFormat="false" ht="15" hidden="false" customHeight="true" outlineLevel="0" collapsed="false">
      <c r="A149" s="14" t="s">
        <v>1936</v>
      </c>
      <c r="B149" s="19" t="n">
        <f aca="false">Impresa_guida!$B$9-Impresa_guida!$B$10</f>
        <v>63</v>
      </c>
      <c r="C149" s="16" t="s">
        <v>126</v>
      </c>
      <c r="D149" s="20" t="n">
        <v>63</v>
      </c>
      <c r="E149" s="21" t="str">
        <f aca="false">IF(ABS(B149-D149)&lt;=0.5,"OK","DIVERSO")</f>
        <v>OK</v>
      </c>
      <c r="F149" s="16" t="s">
        <v>1810</v>
      </c>
    </row>
    <row r="150" customFormat="false" ht="15" hidden="false" customHeight="true" outlineLevel="0" collapsed="false">
      <c r="A150" s="14" t="s">
        <v>632</v>
      </c>
      <c r="B150" s="19" t="n">
        <f aca="false">Impresa_guida!$B$13-Impresa_guida!$B$14</f>
        <v>38</v>
      </c>
      <c r="C150" s="16" t="s">
        <v>126</v>
      </c>
      <c r="D150" s="20" t="n">
        <v>38</v>
      </c>
      <c r="E150" s="21" t="str">
        <f aca="false">IF(ABS(B150-D150)&lt;=0.5,"OK","DIVERSO")</f>
        <v>OK</v>
      </c>
      <c r="F150" s="16" t="s">
        <v>1810</v>
      </c>
    </row>
    <row r="151" customFormat="false" ht="15" hidden="false" customHeight="true" outlineLevel="0" collapsed="false">
      <c r="A151" s="14" t="s">
        <v>633</v>
      </c>
      <c r="B151" s="19" t="n">
        <f aca="false">Impresa_guida!$B$17-Impresa_guida!$B$18</f>
        <v>51</v>
      </c>
      <c r="C151" s="16" t="s">
        <v>126</v>
      </c>
      <c r="D151" s="20" t="n">
        <v>51</v>
      </c>
      <c r="E151" s="21" t="str">
        <f aca="false">IF(ABS(B151-D151)&lt;=0.5,"OK","DIVERSO")</f>
        <v>OK</v>
      </c>
      <c r="F151" s="16" t="s">
        <v>1810</v>
      </c>
    </row>
    <row r="152" customFormat="false" ht="15" hidden="false" customHeight="true" outlineLevel="0" collapsed="false">
      <c r="A152" s="14" t="s">
        <v>1937</v>
      </c>
      <c r="B152" s="26" t="n">
        <f aca="false">Impresa_guida!$B$36/Impresa_guida!$B$34</f>
        <v>0.313644418192558</v>
      </c>
      <c r="C152" s="16" t="s">
        <v>319</v>
      </c>
      <c r="D152" s="27" t="n">
        <v>0.314</v>
      </c>
      <c r="E152" s="21" t="str">
        <f aca="false">IF(ABS(B152-D152)&lt;=0.0005,"OK","DIVERSO")</f>
        <v>OK</v>
      </c>
      <c r="F152" s="16" t="s">
        <v>1810</v>
      </c>
    </row>
    <row r="153" customFormat="false" ht="15" hidden="false" customHeight="true" outlineLevel="0" collapsed="false">
      <c r="A153" s="14" t="s">
        <v>1938</v>
      </c>
      <c r="B153" s="19" t="n">
        <f aca="false">Impresa_guida!$B$40/$B$152</f>
        <v>2346606.40301318</v>
      </c>
      <c r="C153" s="16" t="s">
        <v>140</v>
      </c>
      <c r="D153" s="20" t="n">
        <v>2346606</v>
      </c>
      <c r="E153" s="21" t="str">
        <f aca="false">IF(ABS(B153-D153)&lt;=0.5,"OK","DIVERSO")</f>
        <v>OK</v>
      </c>
      <c r="F153" s="16" t="s">
        <v>1810</v>
      </c>
    </row>
    <row r="154" customFormat="false" ht="15" hidden="false" customHeight="true" outlineLevel="0" collapsed="false">
      <c r="A154" s="14" t="s">
        <v>1939</v>
      </c>
      <c r="B154" s="19" t="n">
        <f aca="false">Impresa_guida!$B$34-$B$153</f>
        <v>1039393.59698682</v>
      </c>
      <c r="C154" s="16" t="s">
        <v>140</v>
      </c>
      <c r="D154" s="20" t="n">
        <v>1039394</v>
      </c>
      <c r="E154" s="21" t="str">
        <f aca="false">IF(ABS(B154-D154)&lt;=0.5,"OK","DIVERSO")</f>
        <v>OK</v>
      </c>
      <c r="F154" s="16" t="s">
        <v>1810</v>
      </c>
    </row>
    <row r="155" customFormat="false" ht="15" hidden="false" customHeight="true" outlineLevel="0" collapsed="false">
      <c r="A155" s="14" t="s">
        <v>1940</v>
      </c>
      <c r="B155" s="26" t="n">
        <f aca="false">$B$154/Impresa_guida!$B$34</f>
        <v>0.306967984934087</v>
      </c>
      <c r="C155" s="16" t="s">
        <v>319</v>
      </c>
      <c r="D155" s="27" t="n">
        <v>0.307</v>
      </c>
      <c r="E155" s="21" t="str">
        <f aca="false">IF(ABS(B155-D155)&lt;=0.0005,"OK","DIVERSO")</f>
        <v>OK</v>
      </c>
      <c r="F155" s="16" t="s">
        <v>1810</v>
      </c>
    </row>
    <row r="156" customFormat="false" ht="15" hidden="false" customHeight="true" outlineLevel="0" collapsed="false">
      <c r="A156" s="14" t="s">
        <v>762</v>
      </c>
      <c r="B156" s="23" t="n">
        <f aca="false">(Impresa_guida!$B$36-Impresa_guida!$B$27*Impresa_guida!$B$37)/Impresa_guida!$B$42</f>
        <v>1.61157024793388</v>
      </c>
      <c r="C156" s="16" t="s">
        <v>518</v>
      </c>
      <c r="D156" s="24" t="n">
        <v>1.61</v>
      </c>
      <c r="E156" s="21" t="str">
        <f aca="false">IF(ABS(B156-D156)&lt;=0.005,"OK","DIVERSO")</f>
        <v>OK</v>
      </c>
      <c r="F156" s="16" t="s">
        <v>1810</v>
      </c>
    </row>
    <row r="157" customFormat="false" ht="15" hidden="false" customHeight="true" outlineLevel="0" collapsed="false">
      <c r="A157" s="14" t="s">
        <v>1941</v>
      </c>
      <c r="B157" s="26" t="n">
        <f aca="false">Impresa_guida!$B$37/Impresa_guida!$B$26</f>
        <v>1.14285714285714</v>
      </c>
      <c r="C157" s="16" t="s">
        <v>319</v>
      </c>
      <c r="D157" s="27" t="n">
        <v>1.143</v>
      </c>
      <c r="E157" s="21" t="str">
        <f aca="false">IF(ABS(B157-D157)&lt;=0.0005,"OK","DIVERSO")</f>
        <v>OK</v>
      </c>
      <c r="F157" s="16" t="s">
        <v>1810</v>
      </c>
    </row>
    <row r="158" customFormat="false" ht="15" hidden="false" customHeight="true" outlineLevel="0" collapsed="false">
      <c r="A158" s="14" t="s">
        <v>1942</v>
      </c>
      <c r="B158" s="23" t="n">
        <f aca="false">Impresa_guida!$B$36/Impresa_guida!$B$37</f>
        <v>44.25</v>
      </c>
      <c r="C158" s="16" t="s">
        <v>146</v>
      </c>
      <c r="D158" s="24" t="n">
        <v>44.25</v>
      </c>
      <c r="E158" s="21" t="str">
        <f aca="false">IF(ABS(B158-D158)&lt;=0.005,"OK","DIVERSO")</f>
        <v>OK</v>
      </c>
      <c r="F158" s="16" t="s">
        <v>1810</v>
      </c>
    </row>
    <row r="159" customFormat="false" ht="30" hidden="false" customHeight="true" outlineLevel="0" collapsed="false">
      <c r="A159" s="36" t="s">
        <v>1943</v>
      </c>
      <c r="B159" s="37" t="s">
        <v>1944</v>
      </c>
      <c r="C159" s="37"/>
      <c r="D159" s="37"/>
      <c r="E159" s="37"/>
      <c r="F159" s="38"/>
    </row>
    <row r="160" customFormat="false" ht="30" hidden="false" customHeight="true" outlineLevel="0" collapsed="false">
      <c r="A160" s="36" t="s">
        <v>1945</v>
      </c>
      <c r="B160" s="37" t="s">
        <v>1946</v>
      </c>
      <c r="C160" s="37"/>
      <c r="D160" s="37"/>
      <c r="E160" s="37"/>
      <c r="F160" s="38"/>
    </row>
    <row r="161" customFormat="false" ht="30" hidden="false" customHeight="true" outlineLevel="0" collapsed="false">
      <c r="A161" s="36" t="s">
        <v>1947</v>
      </c>
      <c r="B161" s="37" t="s">
        <v>1948</v>
      </c>
      <c r="C161" s="37"/>
      <c r="D161" s="37"/>
      <c r="E161" s="37"/>
      <c r="F161" s="38"/>
    </row>
    <row r="162" customFormat="false" ht="15" hidden="false" customHeight="true" outlineLevel="0" collapsed="false"/>
    <row r="163" customFormat="false" ht="15" hidden="false" customHeight="true" outlineLevel="0" collapsed="false">
      <c r="A163" s="13" t="s">
        <v>1949</v>
      </c>
      <c r="B163" s="13"/>
      <c r="C163" s="13"/>
      <c r="D163" s="13"/>
      <c r="E163" s="13"/>
      <c r="F163" s="13"/>
    </row>
    <row r="164" customFormat="false" ht="45" hidden="false" customHeight="true" outlineLevel="0" collapsed="false">
      <c r="A164" s="22" t="s">
        <v>1950</v>
      </c>
      <c r="B164" s="22"/>
      <c r="C164" s="22"/>
      <c r="D164" s="22"/>
      <c r="E164" s="22"/>
      <c r="F164" s="22"/>
    </row>
    <row r="165" customFormat="false" ht="15" hidden="false" customHeight="true" outlineLevel="0" collapsed="false">
      <c r="A165" s="6" t="s">
        <v>116</v>
      </c>
      <c r="B165" s="6" t="s">
        <v>117</v>
      </c>
      <c r="C165" s="6" t="s">
        <v>118</v>
      </c>
      <c r="D165" s="6" t="s">
        <v>119</v>
      </c>
      <c r="E165" s="6" t="s">
        <v>120</v>
      </c>
      <c r="F165" s="6" t="s">
        <v>121</v>
      </c>
    </row>
    <row r="166" customFormat="false" ht="15" hidden="false" customHeight="true" outlineLevel="0" collapsed="false">
      <c r="A166" s="14" t="s">
        <v>1017</v>
      </c>
      <c r="B166" s="19" t="n">
        <f aca="false">Cap_12!$B$28</f>
        <v>3392100</v>
      </c>
      <c r="C166" s="16" t="s">
        <v>140</v>
      </c>
      <c r="D166" s="17"/>
      <c r="E166" s="17"/>
      <c r="F166" s="16" t="s">
        <v>1016</v>
      </c>
    </row>
    <row r="167" customFormat="false" ht="15" hidden="false" customHeight="true" outlineLevel="0" collapsed="false">
      <c r="A167" s="14" t="s">
        <v>1951</v>
      </c>
      <c r="B167" s="19" t="n">
        <f aca="false">Impresa_guida!$B$34-$B$166</f>
        <v>-6100</v>
      </c>
      <c r="C167" s="16" t="s">
        <v>140</v>
      </c>
      <c r="D167" s="20" t="n">
        <v>-6100</v>
      </c>
      <c r="E167" s="21" t="str">
        <f aca="false">IF(ABS(B167-D167)&lt;=0.5,"OK","DIVERSO")</f>
        <v>OK</v>
      </c>
      <c r="F167" s="16" t="s">
        <v>1810</v>
      </c>
    </row>
    <row r="168" customFormat="false" ht="15" hidden="false" customHeight="true" outlineLevel="0" collapsed="false">
      <c r="A168" s="14" t="s">
        <v>1952</v>
      </c>
      <c r="B168" s="26" t="n">
        <f aca="false">$B$167/$B$166</f>
        <v>-0.00179829604080068</v>
      </c>
      <c r="C168" s="16" t="s">
        <v>319</v>
      </c>
      <c r="D168" s="27" t="n">
        <v>-0.002</v>
      </c>
      <c r="E168" s="21" t="str">
        <f aca="false">IF(ABS(B168-D168)&lt;=0.0005,"OK","DIVERSO")</f>
        <v>OK</v>
      </c>
      <c r="F168" s="16" t="s">
        <v>1810</v>
      </c>
    </row>
    <row r="169" customFormat="false" ht="15" hidden="false" customHeight="true" outlineLevel="0" collapsed="false">
      <c r="A169" s="14" t="s">
        <v>1023</v>
      </c>
      <c r="B169" s="19" t="n">
        <f aca="false">Cap_12!$B$35</f>
        <v>269900</v>
      </c>
      <c r="C169" s="16" t="s">
        <v>140</v>
      </c>
      <c r="D169" s="17"/>
      <c r="E169" s="17"/>
      <c r="F169" s="16" t="s">
        <v>1000</v>
      </c>
    </row>
    <row r="170" customFormat="false" ht="15" hidden="false" customHeight="true" outlineLevel="0" collapsed="false">
      <c r="A170" s="14" t="s">
        <v>1953</v>
      </c>
      <c r="B170" s="19" t="n">
        <f aca="false">Impresa_guida!$B$42-$B$169</f>
        <v>-27900</v>
      </c>
      <c r="C170" s="16" t="s">
        <v>140</v>
      </c>
      <c r="D170" s="20" t="n">
        <v>-27900</v>
      </c>
      <c r="E170" s="21" t="str">
        <f aca="false">IF(ABS(B170-D170)&lt;=0.5,"OK","DIVERSO")</f>
        <v>OK</v>
      </c>
      <c r="F170" s="16" t="s">
        <v>1810</v>
      </c>
    </row>
    <row r="171" customFormat="false" ht="15" hidden="false" customHeight="true" outlineLevel="0" collapsed="false">
      <c r="A171" s="14" t="s">
        <v>1954</v>
      </c>
      <c r="B171" s="26" t="n">
        <f aca="false">$B$170/ABS($B$169)</f>
        <v>-0.103371619118192</v>
      </c>
      <c r="C171" s="16" t="s">
        <v>319</v>
      </c>
      <c r="D171" s="27" t="n">
        <v>-0.103</v>
      </c>
      <c r="E171" s="21" t="str">
        <f aca="false">IF(ABS(B171-D171)&lt;=0.0005,"OK","DIVERSO")</f>
        <v>OK</v>
      </c>
      <c r="F171" s="16" t="s">
        <v>1810</v>
      </c>
    </row>
    <row r="172" customFormat="false" ht="45" hidden="false" customHeight="true" outlineLevel="0" collapsed="false">
      <c r="A172" s="36" t="s">
        <v>1955</v>
      </c>
      <c r="B172" s="37" t="s">
        <v>1956</v>
      </c>
      <c r="C172" s="37"/>
      <c r="D172" s="37"/>
      <c r="E172" s="37"/>
      <c r="F172" s="38"/>
    </row>
    <row r="173" customFormat="false" ht="15" hidden="false" customHeight="true" outlineLevel="0" collapsed="false">
      <c r="A173" s="14" t="s">
        <v>1957</v>
      </c>
      <c r="B173" s="15" t="n">
        <v>3520000</v>
      </c>
      <c r="C173" s="16" t="s">
        <v>140</v>
      </c>
      <c r="D173" s="17"/>
      <c r="E173" s="17"/>
      <c r="F173" s="16" t="s">
        <v>1958</v>
      </c>
    </row>
    <row r="174" customFormat="false" ht="15" hidden="false" customHeight="true" outlineLevel="0" collapsed="false">
      <c r="A174" s="14" t="s">
        <v>1959</v>
      </c>
      <c r="B174" s="15" t="n">
        <v>3480000</v>
      </c>
      <c r="C174" s="16" t="s">
        <v>140</v>
      </c>
      <c r="D174" s="17"/>
      <c r="E174" s="17"/>
      <c r="F174" s="16" t="s">
        <v>1958</v>
      </c>
    </row>
    <row r="175" customFormat="false" ht="15" hidden="false" customHeight="true" outlineLevel="0" collapsed="false">
      <c r="A175" s="14" t="s">
        <v>1960</v>
      </c>
      <c r="B175" s="15" t="n">
        <v>3450000</v>
      </c>
      <c r="C175" s="16" t="s">
        <v>140</v>
      </c>
      <c r="D175" s="17"/>
      <c r="E175" s="17"/>
      <c r="F175" s="16" t="s">
        <v>1958</v>
      </c>
    </row>
    <row r="176" customFormat="false" ht="15" hidden="false" customHeight="true" outlineLevel="0" collapsed="false">
      <c r="A176" s="14" t="s">
        <v>1961</v>
      </c>
      <c r="B176" s="15" t="n">
        <v>3410000</v>
      </c>
      <c r="C176" s="16" t="s">
        <v>140</v>
      </c>
      <c r="D176" s="17"/>
      <c r="E176" s="17"/>
      <c r="F176" s="16" t="s">
        <v>1958</v>
      </c>
    </row>
    <row r="177" customFormat="false" ht="15" hidden="false" customHeight="true" outlineLevel="0" collapsed="false">
      <c r="A177" s="14" t="s">
        <v>1962</v>
      </c>
      <c r="B177" s="26" t="n">
        <f aca="false">(ABS(Impresa_guida!$B$34-$B$173)+ABS(Impresa_guida!$B$34-$B$174)+ABS(Impresa_guida!$B$34-$B$175)+ABS(Impresa_guida!$B$34-$B$176))/(4*ABS(Impresa_guida!$B$34))</f>
        <v>0.0233313644418193</v>
      </c>
      <c r="C177" s="16" t="s">
        <v>319</v>
      </c>
      <c r="D177" s="27" t="n">
        <v>0.023</v>
      </c>
      <c r="E177" s="21" t="str">
        <f aca="false">IF(ABS(B177-D177)&lt;=0.0005,"OK","DIVERSO")</f>
        <v>OK</v>
      </c>
      <c r="F177" s="16" t="s">
        <v>1810</v>
      </c>
    </row>
    <row r="178" customFormat="false" ht="15" hidden="false" customHeight="true" outlineLevel="0" collapsed="false">
      <c r="A178" s="14" t="s">
        <v>1963</v>
      </c>
      <c r="B178" s="26" t="n">
        <f aca="false">1-$B$177</f>
        <v>0.976668635558181</v>
      </c>
      <c r="C178" s="16" t="s">
        <v>319</v>
      </c>
      <c r="D178" s="27" t="n">
        <v>0.977</v>
      </c>
      <c r="E178" s="21" t="str">
        <f aca="false">IF(ABS(B178-D178)&lt;=0.0005,"OK","DIVERSO")</f>
        <v>OK</v>
      </c>
      <c r="F178" s="16" t="s">
        <v>1810</v>
      </c>
    </row>
    <row r="179" customFormat="false" ht="15" hidden="false" customHeight="true" outlineLevel="0" collapsed="false">
      <c r="A179" s="14" t="s">
        <v>1964</v>
      </c>
      <c r="B179" s="26" t="n">
        <f aca="false">(($B$173-Impresa_guida!$B$34)+($B$174-Impresa_guida!$B$34)+($B$175-Impresa_guida!$B$34)+($B$176-Impresa_guida!$B$34))/(4*ABS(Impresa_guida!$B$34))</f>
        <v>0.0233313644418193</v>
      </c>
      <c r="C179" s="16" t="s">
        <v>319</v>
      </c>
      <c r="D179" s="27" t="n">
        <v>0.023</v>
      </c>
      <c r="E179" s="21" t="str">
        <f aca="false">IF(ABS(B179-D179)&lt;=0.0005,"OK","DIVERSO")</f>
        <v>OK</v>
      </c>
      <c r="F179" s="16" t="s">
        <v>1810</v>
      </c>
    </row>
    <row r="180" customFormat="false" ht="15" hidden="false" customHeight="true" outlineLevel="0" collapsed="false">
      <c r="A180" s="14" t="s">
        <v>1965</v>
      </c>
      <c r="B180" s="19" t="n">
        <f aca="false">Cap_08!$B$97</f>
        <v>200</v>
      </c>
      <c r="C180" s="16" t="s">
        <v>126</v>
      </c>
      <c r="D180" s="17"/>
      <c r="E180" s="17"/>
      <c r="F180" s="16" t="s">
        <v>1810</v>
      </c>
    </row>
    <row r="181" customFormat="false" ht="15" hidden="false" customHeight="true" outlineLevel="0" collapsed="false">
      <c r="A181" s="14" t="s">
        <v>1966</v>
      </c>
      <c r="B181" s="15" t="n">
        <v>16</v>
      </c>
      <c r="C181" s="16" t="s">
        <v>126</v>
      </c>
      <c r="D181" s="17"/>
      <c r="E181" s="17"/>
      <c r="F181" s="16" t="s">
        <v>1810</v>
      </c>
    </row>
    <row r="182" customFormat="false" ht="15" hidden="false" customHeight="true" outlineLevel="0" collapsed="false">
      <c r="A182" s="14" t="s">
        <v>1967</v>
      </c>
      <c r="B182" s="26" t="n">
        <f aca="false">$B$181/$B$180</f>
        <v>0.08</v>
      </c>
      <c r="C182" s="16" t="s">
        <v>319</v>
      </c>
      <c r="D182" s="27" t="n">
        <v>0.08</v>
      </c>
      <c r="E182" s="21" t="str">
        <f aca="false">IF(ABS(B182-D182)&lt;=0.0005,"OK","DIVERSO")</f>
        <v>OK</v>
      </c>
      <c r="F182" s="16" t="s">
        <v>1810</v>
      </c>
    </row>
    <row r="183" customFormat="false" ht="15" hidden="false" customHeight="true" outlineLevel="0" collapsed="false">
      <c r="A183" s="14" t="s">
        <v>1968</v>
      </c>
      <c r="B183" s="19" t="n">
        <f aca="false">Cap_08!$B$98</f>
        <v>120</v>
      </c>
      <c r="C183" s="16" t="s">
        <v>126</v>
      </c>
      <c r="D183" s="17"/>
      <c r="E183" s="17"/>
      <c r="F183" s="16" t="s">
        <v>1810</v>
      </c>
    </row>
    <row r="184" customFormat="false" ht="15" hidden="false" customHeight="true" outlineLevel="0" collapsed="false">
      <c r="A184" s="14" t="s">
        <v>1969</v>
      </c>
      <c r="B184" s="19" t="n">
        <f aca="false">Cap_17!$B$49</f>
        <v>4</v>
      </c>
      <c r="C184" s="16" t="s">
        <v>126</v>
      </c>
      <c r="D184" s="17"/>
      <c r="E184" s="17"/>
      <c r="F184" s="16" t="s">
        <v>1810</v>
      </c>
    </row>
    <row r="185" customFormat="false" ht="15" hidden="false" customHeight="true" outlineLevel="0" collapsed="false">
      <c r="A185" s="14" t="s">
        <v>1970</v>
      </c>
      <c r="B185" s="26" t="n">
        <f aca="false">$B$184/$B$183</f>
        <v>0.0333333333333333</v>
      </c>
      <c r="C185" s="16" t="s">
        <v>319</v>
      </c>
      <c r="D185" s="27" t="n">
        <v>0.033</v>
      </c>
      <c r="E185" s="21" t="str">
        <f aca="false">IF(ABS(B185-D185)&lt;=0.0005,"OK","DIVERSO")</f>
        <v>OK</v>
      </c>
      <c r="F185" s="16" t="s">
        <v>1810</v>
      </c>
    </row>
    <row r="186" customFormat="false" ht="30" hidden="false" customHeight="true" outlineLevel="0" collapsed="false">
      <c r="A186" s="36" t="s">
        <v>1971</v>
      </c>
      <c r="B186" s="37" t="s">
        <v>1972</v>
      </c>
      <c r="C186" s="37"/>
      <c r="D186" s="37"/>
      <c r="E186" s="37"/>
      <c r="F186" s="38"/>
    </row>
    <row r="187" customFormat="false" ht="15" hidden="false" customHeight="true" outlineLevel="0" collapsed="false"/>
    <row r="188" customFormat="false" ht="15" hidden="false" customHeight="true" outlineLevel="0" collapsed="false">
      <c r="A188" s="13" t="s">
        <v>1973</v>
      </c>
      <c r="B188" s="13"/>
      <c r="C188" s="13"/>
      <c r="D188" s="13"/>
      <c r="E188" s="13"/>
      <c r="F188" s="13"/>
    </row>
    <row r="189" customFormat="false" ht="30" hidden="false" customHeight="true" outlineLevel="0" collapsed="false">
      <c r="A189" s="22" t="s">
        <v>1974</v>
      </c>
      <c r="B189" s="22"/>
      <c r="C189" s="22"/>
      <c r="D189" s="22"/>
      <c r="E189" s="22"/>
      <c r="F189" s="22"/>
    </row>
    <row r="190" customFormat="false" ht="15" hidden="false" customHeight="true" outlineLevel="0" collapsed="false">
      <c r="A190" s="6" t="s">
        <v>116</v>
      </c>
      <c r="B190" s="6" t="s">
        <v>117</v>
      </c>
      <c r="C190" s="6" t="s">
        <v>118</v>
      </c>
      <c r="D190" s="6" t="s">
        <v>119</v>
      </c>
      <c r="E190" s="6" t="s">
        <v>120</v>
      </c>
      <c r="F190" s="6" t="s">
        <v>121</v>
      </c>
    </row>
    <row r="191" customFormat="false" ht="15" hidden="false" customHeight="true" outlineLevel="0" collapsed="false">
      <c r="A191" s="14" t="s">
        <v>160</v>
      </c>
      <c r="B191" s="19" t="n">
        <f aca="false">Impresa_guida!$B$42</f>
        <v>242000</v>
      </c>
      <c r="C191" s="16" t="s">
        <v>140</v>
      </c>
      <c r="D191" s="20" t="n">
        <v>242000</v>
      </c>
      <c r="E191" s="21" t="str">
        <f aca="false">IF(ABS(B191-D191)&lt;=0.5,"OK","DIVERSO")</f>
        <v>OK</v>
      </c>
      <c r="F191" s="16" t="s">
        <v>1810</v>
      </c>
    </row>
    <row r="192" customFormat="false" ht="15" hidden="false" customHeight="true" outlineLevel="0" collapsed="false">
      <c r="A192" s="14" t="s">
        <v>1975</v>
      </c>
      <c r="B192" s="19" t="n">
        <f aca="false">$B$130</f>
        <v>74000</v>
      </c>
      <c r="C192" s="16" t="s">
        <v>140</v>
      </c>
      <c r="D192" s="20" t="n">
        <v>74000</v>
      </c>
      <c r="E192" s="21" t="str">
        <f aca="false">IF(ABS(B192-D192)&lt;=0.5,"OK","DIVERSO")</f>
        <v>OK</v>
      </c>
      <c r="F192" s="16" t="s">
        <v>1810</v>
      </c>
    </row>
    <row r="193" customFormat="false" ht="15" hidden="false" customHeight="true" outlineLevel="0" collapsed="false">
      <c r="A193" s="14" t="s">
        <v>1976</v>
      </c>
      <c r="B193" s="19" t="n">
        <f aca="false">-($B$121-$B$120)</f>
        <v>-180000</v>
      </c>
      <c r="C193" s="16" t="s">
        <v>140</v>
      </c>
      <c r="D193" s="20" t="n">
        <v>-180000</v>
      </c>
      <c r="E193" s="21" t="str">
        <f aca="false">IF(ABS(B193-D193)&lt;=0.5,"OK","DIVERSO")</f>
        <v>OK</v>
      </c>
      <c r="F193" s="16" t="s">
        <v>1810</v>
      </c>
    </row>
    <row r="194" customFormat="false" ht="15" hidden="false" customHeight="true" outlineLevel="0" collapsed="false">
      <c r="A194" s="14" t="s">
        <v>1977</v>
      </c>
      <c r="B194" s="19" t="n">
        <f aca="false">-($B$124-$B$123)</f>
        <v>-0</v>
      </c>
      <c r="C194" s="16" t="s">
        <v>140</v>
      </c>
      <c r="D194" s="20" t="n">
        <v>0</v>
      </c>
      <c r="E194" s="21" t="str">
        <f aca="false">IF(ABS(B194-D194)&lt;=0.5,"OK","DIVERSO")</f>
        <v>OK</v>
      </c>
      <c r="F194" s="16" t="s">
        <v>1810</v>
      </c>
    </row>
    <row r="195" customFormat="false" ht="15" hidden="false" customHeight="true" outlineLevel="0" collapsed="false">
      <c r="A195" s="14" t="s">
        <v>1978</v>
      </c>
      <c r="B195" s="19" t="n">
        <f aca="false">$B$126-$B$125</f>
        <v>0</v>
      </c>
      <c r="C195" s="16" t="s">
        <v>140</v>
      </c>
      <c r="D195" s="20" t="n">
        <v>0</v>
      </c>
      <c r="E195" s="21" t="str">
        <f aca="false">IF(ABS(B195-D195)&lt;=0.5,"OK","DIVERSO")</f>
        <v>OK</v>
      </c>
      <c r="F195" s="16" t="s">
        <v>1810</v>
      </c>
    </row>
    <row r="196" customFormat="false" ht="15" hidden="false" customHeight="true" outlineLevel="0" collapsed="false">
      <c r="A196" s="14" t="s">
        <v>1137</v>
      </c>
      <c r="B196" s="19" t="n">
        <f aca="false">$B$191+$B$192+$B$193+$B$194+$B$195</f>
        <v>136000</v>
      </c>
      <c r="C196" s="16" t="s">
        <v>140</v>
      </c>
      <c r="D196" s="20" t="n">
        <v>136000</v>
      </c>
      <c r="E196" s="21" t="str">
        <f aca="false">IF(ABS(B196-D196)&lt;=0.5,"OK","DIVERSO")</f>
        <v>OK</v>
      </c>
      <c r="F196" s="16" t="s">
        <v>1810</v>
      </c>
    </row>
    <row r="197" customFormat="false" ht="15" hidden="false" customHeight="true" outlineLevel="0" collapsed="false">
      <c r="A197" s="14" t="s">
        <v>1979</v>
      </c>
      <c r="B197" s="19" t="n">
        <f aca="false">-($B$129-$B$128+$B$130)</f>
        <v>-74000</v>
      </c>
      <c r="C197" s="16" t="s">
        <v>140</v>
      </c>
      <c r="D197" s="20" t="n">
        <v>-74000</v>
      </c>
      <c r="E197" s="21" t="str">
        <f aca="false">IF(ABS(B197-D197)&lt;=0.5,"OK","DIVERSO")</f>
        <v>OK</v>
      </c>
      <c r="F197" s="16" t="s">
        <v>1810</v>
      </c>
    </row>
    <row r="198" customFormat="false" ht="15" hidden="false" customHeight="true" outlineLevel="0" collapsed="false">
      <c r="A198" s="14" t="s">
        <v>1980</v>
      </c>
      <c r="B198" s="19" t="n">
        <f aca="false">$B$196+$B$197</f>
        <v>62000</v>
      </c>
      <c r="C198" s="16" t="s">
        <v>140</v>
      </c>
      <c r="D198" s="20" t="n">
        <v>62000</v>
      </c>
      <c r="E198" s="21" t="str">
        <f aca="false">IF(ABS(B198-D198)&lt;=0.5,"OK","DIVERSO")</f>
        <v>OK</v>
      </c>
      <c r="F198" s="16" t="s">
        <v>1810</v>
      </c>
    </row>
    <row r="199" customFormat="false" ht="15" hidden="false" customHeight="true" outlineLevel="0" collapsed="false">
      <c r="A199" s="14" t="s">
        <v>1981</v>
      </c>
      <c r="B199" s="19" t="n">
        <f aca="false">Impresa_guida!$B$34+$B$193</f>
        <v>3206000</v>
      </c>
      <c r="C199" s="16" t="s">
        <v>140</v>
      </c>
      <c r="D199" s="20" t="n">
        <v>3206000</v>
      </c>
      <c r="E199" s="21" t="str">
        <f aca="false">IF(ABS(B199-D199)&lt;=0.5,"OK","DIVERSO")</f>
        <v>OK</v>
      </c>
      <c r="F199" s="16" t="s">
        <v>1810</v>
      </c>
    </row>
    <row r="200" customFormat="false" ht="15" hidden="false" customHeight="true" outlineLevel="0" collapsed="false">
      <c r="A200" s="14" t="s">
        <v>1982</v>
      </c>
      <c r="B200" s="19" t="n">
        <f aca="false">Impresa_guida!$B$35+Impresa_guida!$B$41-$B$130-$B$127</f>
        <v>880000</v>
      </c>
      <c r="C200" s="16" t="s">
        <v>140</v>
      </c>
      <c r="D200" s="20" t="n">
        <v>880000</v>
      </c>
      <c r="E200" s="21" t="str">
        <f aca="false">IF(ABS(B200-D200)&lt;=0.5,"OK","DIVERSO")</f>
        <v>OK</v>
      </c>
      <c r="F200" s="16" t="s">
        <v>1810</v>
      </c>
    </row>
    <row r="201" customFormat="false" ht="15" hidden="false" customHeight="true" outlineLevel="0" collapsed="false">
      <c r="A201" s="14" t="s">
        <v>1983</v>
      </c>
      <c r="B201" s="19" t="n">
        <f aca="false">$B$199-($B$127-$B$195)-$B$200</f>
        <v>136000</v>
      </c>
      <c r="C201" s="16" t="s">
        <v>140</v>
      </c>
      <c r="D201" s="20" t="n">
        <v>136000</v>
      </c>
      <c r="E201" s="21" t="str">
        <f aca="false">IF(ABS(B201-D201)&lt;=0.5,"OK","DIVERSO")</f>
        <v>OK</v>
      </c>
      <c r="F201" s="16" t="s">
        <v>1810</v>
      </c>
    </row>
    <row r="202" customFormat="false" ht="15" hidden="false" customHeight="true" outlineLevel="0" collapsed="false">
      <c r="A202" s="14" t="s">
        <v>1984</v>
      </c>
      <c r="B202" s="19" t="n">
        <f aca="false">Impresa_guida!$B$34/$B$70</f>
        <v>9276.71232876712</v>
      </c>
      <c r="C202" s="16" t="s">
        <v>140</v>
      </c>
      <c r="D202" s="20" t="n">
        <v>9277</v>
      </c>
      <c r="E202" s="21" t="str">
        <f aca="false">IF(ABS(B202-D202)&lt;=0.5,"OK","DIVERSO")</f>
        <v>OK</v>
      </c>
      <c r="F202" s="16" t="s">
        <v>1810</v>
      </c>
    </row>
  </sheetData>
  <mergeCells count="32">
    <mergeCell ref="A1:F1"/>
    <mergeCell ref="A4:F4"/>
    <mergeCell ref="A6:F6"/>
    <mergeCell ref="A7:F7"/>
    <mergeCell ref="A20:F20"/>
    <mergeCell ref="A21:F21"/>
    <mergeCell ref="A36:F36"/>
    <mergeCell ref="A37:F37"/>
    <mergeCell ref="A52:F52"/>
    <mergeCell ref="A53:F53"/>
    <mergeCell ref="A67:F67"/>
    <mergeCell ref="A68:F68"/>
    <mergeCell ref="A82:F82"/>
    <mergeCell ref="A83:F83"/>
    <mergeCell ref="A99:F99"/>
    <mergeCell ref="A100:F100"/>
    <mergeCell ref="A117:F117"/>
    <mergeCell ref="A118:F118"/>
    <mergeCell ref="A133:F133"/>
    <mergeCell ref="A134:F134"/>
    <mergeCell ref="B144:E144"/>
    <mergeCell ref="A146:F146"/>
    <mergeCell ref="A147:F147"/>
    <mergeCell ref="B159:E159"/>
    <mergeCell ref="B160:E160"/>
    <mergeCell ref="B161:E161"/>
    <mergeCell ref="A163:F163"/>
    <mergeCell ref="A164:F164"/>
    <mergeCell ref="B172:E172"/>
    <mergeCell ref="B186:E186"/>
    <mergeCell ref="A188:F188"/>
    <mergeCell ref="A189:F1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44"/>
    <col collapsed="false" customWidth="true" hidden="false" outlineLevel="0" max="4" min="4" style="1" width="20"/>
    <col collapsed="false" customWidth="true" hidden="false" outlineLevel="0" max="5" min="5" style="1" width="24"/>
    <col collapsed="false" customWidth="true" hidden="false" outlineLevel="0" max="6" min="6" style="1" width="18"/>
    <col collapsed="false" customWidth="true" hidden="false" outlineLevel="0" max="7" min="7" style="1" width="46"/>
    <col collapsed="false" customWidth="true" hidden="false" outlineLevel="0" max="8" min="8" style="1" width="14"/>
    <col collapsed="false" customWidth="true" hidden="false" outlineLevel="0" max="9" min="9" style="1" width="40"/>
  </cols>
  <sheetData>
    <row r="1" customFormat="false" ht="31.5" hidden="false" customHeight="true" outlineLevel="0" collapsed="false">
      <c r="A1" s="40" t="s">
        <v>1985</v>
      </c>
      <c r="B1" s="40"/>
      <c r="C1" s="40"/>
      <c r="D1" s="40"/>
      <c r="E1" s="40"/>
      <c r="F1" s="40"/>
      <c r="G1" s="40"/>
      <c r="H1" s="40"/>
      <c r="I1" s="40"/>
    </row>
    <row r="2" customFormat="false" ht="15" hidden="false" customHeight="true" outlineLevel="0" collapsed="false">
      <c r="A2" s="40"/>
      <c r="B2" s="40"/>
      <c r="C2" s="40"/>
      <c r="D2" s="40"/>
      <c r="E2" s="40"/>
      <c r="F2" s="40"/>
      <c r="G2" s="40"/>
      <c r="H2" s="40"/>
      <c r="I2" s="40"/>
    </row>
    <row r="3" customFormat="false" ht="15" hidden="false" customHeight="true" outlineLevel="0" collapsed="false"/>
    <row r="4" customFormat="false" ht="27.75" hidden="false" customHeight="true" outlineLevel="0" collapsed="false">
      <c r="A4" s="41" t="s">
        <v>1986</v>
      </c>
      <c r="B4" s="41" t="s">
        <v>116</v>
      </c>
      <c r="C4" s="41" t="s">
        <v>1987</v>
      </c>
      <c r="D4" s="41" t="s">
        <v>1988</v>
      </c>
      <c r="E4" s="41" t="s">
        <v>1989</v>
      </c>
      <c r="F4" s="41" t="s">
        <v>1990</v>
      </c>
      <c r="G4" s="41" t="s">
        <v>1991</v>
      </c>
      <c r="H4" s="41" t="s">
        <v>1992</v>
      </c>
      <c r="I4" s="41" t="s">
        <v>1993</v>
      </c>
    </row>
    <row r="5" customFormat="false" ht="51.75" hidden="false" customHeight="true" outlineLevel="0" collapsed="false">
      <c r="A5" s="42" t="s">
        <v>1994</v>
      </c>
      <c r="B5" s="42" t="s">
        <v>1995</v>
      </c>
      <c r="C5" s="42" t="s">
        <v>1996</v>
      </c>
      <c r="D5" s="43"/>
      <c r="E5" s="43"/>
      <c r="F5" s="43"/>
      <c r="G5" s="43"/>
      <c r="H5" s="42" t="s">
        <v>1997</v>
      </c>
      <c r="I5" s="42" t="s">
        <v>1998</v>
      </c>
    </row>
    <row r="6" customFormat="false" ht="51.75" hidden="false" customHeight="true" outlineLevel="0" collapsed="false">
      <c r="A6" s="42" t="s">
        <v>1999</v>
      </c>
      <c r="B6" s="42" t="s">
        <v>2000</v>
      </c>
      <c r="C6" s="42" t="s">
        <v>2001</v>
      </c>
      <c r="D6" s="43"/>
      <c r="E6" s="43"/>
      <c r="F6" s="43"/>
      <c r="G6" s="43"/>
      <c r="H6" s="42" t="s">
        <v>1997</v>
      </c>
      <c r="I6" s="42" t="s">
        <v>2002</v>
      </c>
    </row>
    <row r="7" customFormat="false" ht="51.75" hidden="false" customHeight="true" outlineLevel="0" collapsed="false">
      <c r="A7" s="42" t="s">
        <v>2003</v>
      </c>
      <c r="B7" s="42" t="s">
        <v>2004</v>
      </c>
      <c r="C7" s="42" t="s">
        <v>2005</v>
      </c>
      <c r="D7" s="43"/>
      <c r="E7" s="43"/>
      <c r="F7" s="43"/>
      <c r="G7" s="43"/>
      <c r="H7" s="42" t="s">
        <v>1997</v>
      </c>
      <c r="I7" s="42" t="s">
        <v>2006</v>
      </c>
    </row>
    <row r="8" customFormat="false" ht="51.75" hidden="false" customHeight="true" outlineLevel="0" collapsed="false">
      <c r="A8" s="42" t="s">
        <v>2007</v>
      </c>
      <c r="B8" s="42" t="s">
        <v>2008</v>
      </c>
      <c r="C8" s="42" t="s">
        <v>2009</v>
      </c>
      <c r="D8" s="43"/>
      <c r="E8" s="43"/>
      <c r="F8" s="43"/>
      <c r="G8" s="43"/>
      <c r="H8" s="42" t="s">
        <v>1997</v>
      </c>
      <c r="I8" s="42" t="s">
        <v>2010</v>
      </c>
    </row>
    <row r="9" customFormat="false" ht="51.75" hidden="false" customHeight="true" outlineLevel="0" collapsed="false">
      <c r="A9" s="42" t="s">
        <v>2011</v>
      </c>
      <c r="B9" s="42" t="s">
        <v>2012</v>
      </c>
      <c r="C9" s="42" t="s">
        <v>2013</v>
      </c>
      <c r="D9" s="43"/>
      <c r="E9" s="43"/>
      <c r="F9" s="43"/>
      <c r="G9" s="43"/>
      <c r="H9" s="42" t="s">
        <v>1997</v>
      </c>
      <c r="I9" s="42" t="s">
        <v>2014</v>
      </c>
    </row>
    <row r="10" customFormat="false" ht="51.75" hidden="false" customHeight="true" outlineLevel="0" collapsed="false">
      <c r="A10" s="42" t="s">
        <v>2015</v>
      </c>
      <c r="B10" s="42" t="s">
        <v>2016</v>
      </c>
      <c r="C10" s="42" t="s">
        <v>2017</v>
      </c>
      <c r="D10" s="43"/>
      <c r="E10" s="43"/>
      <c r="F10" s="43"/>
      <c r="G10" s="43"/>
      <c r="H10" s="42" t="s">
        <v>2018</v>
      </c>
      <c r="I10" s="42" t="s">
        <v>2019</v>
      </c>
    </row>
    <row r="11" customFormat="false" ht="51.75" hidden="false" customHeight="true" outlineLevel="0" collapsed="false">
      <c r="A11" s="42" t="s">
        <v>2020</v>
      </c>
      <c r="B11" s="42" t="s">
        <v>2021</v>
      </c>
      <c r="C11" s="42" t="s">
        <v>2022</v>
      </c>
      <c r="D11" s="43"/>
      <c r="E11" s="43"/>
      <c r="F11" s="43"/>
      <c r="G11" s="43"/>
      <c r="H11" s="42" t="s">
        <v>2018</v>
      </c>
      <c r="I11" s="42" t="s">
        <v>2023</v>
      </c>
    </row>
    <row r="12" customFormat="false" ht="51.75" hidden="false" customHeight="true" outlineLevel="0" collapsed="false">
      <c r="A12" s="42" t="s">
        <v>2024</v>
      </c>
      <c r="B12" s="42" t="s">
        <v>2025</v>
      </c>
      <c r="C12" s="42" t="s">
        <v>2026</v>
      </c>
      <c r="D12" s="43"/>
      <c r="E12" s="43"/>
      <c r="F12" s="43"/>
      <c r="G12" s="43"/>
      <c r="H12" s="42" t="s">
        <v>2018</v>
      </c>
      <c r="I12" s="42" t="s">
        <v>2027</v>
      </c>
    </row>
    <row r="13" customFormat="false" ht="51.75" hidden="false" customHeight="true" outlineLevel="0" collapsed="false">
      <c r="A13" s="42" t="s">
        <v>2028</v>
      </c>
      <c r="B13" s="42" t="s">
        <v>2029</v>
      </c>
      <c r="C13" s="42" t="s">
        <v>2030</v>
      </c>
      <c r="D13" s="43"/>
      <c r="E13" s="43"/>
      <c r="F13" s="43"/>
      <c r="G13" s="43"/>
      <c r="H13" s="42" t="s">
        <v>2018</v>
      </c>
      <c r="I13" s="42" t="s">
        <v>2031</v>
      </c>
    </row>
    <row r="14" customFormat="false" ht="51.75" hidden="false" customHeight="true" outlineLevel="0" collapsed="false">
      <c r="A14" s="42" t="s">
        <v>2032</v>
      </c>
      <c r="B14" s="42" t="s">
        <v>2033</v>
      </c>
      <c r="C14" s="42" t="s">
        <v>2034</v>
      </c>
      <c r="D14" s="43"/>
      <c r="E14" s="43"/>
      <c r="F14" s="43"/>
      <c r="G14" s="43"/>
      <c r="H14" s="42" t="s">
        <v>2018</v>
      </c>
      <c r="I14" s="42" t="s">
        <v>2035</v>
      </c>
    </row>
    <row r="15" customFormat="false" ht="51.75" hidden="false" customHeight="true" outlineLevel="0" collapsed="false">
      <c r="A15" s="42" t="s">
        <v>2036</v>
      </c>
      <c r="B15" s="42" t="s">
        <v>2037</v>
      </c>
      <c r="C15" s="42" t="s">
        <v>2038</v>
      </c>
      <c r="D15" s="43"/>
      <c r="E15" s="43"/>
      <c r="F15" s="43"/>
      <c r="G15" s="43"/>
      <c r="H15" s="42" t="s">
        <v>2039</v>
      </c>
      <c r="I15" s="42" t="s">
        <v>2040</v>
      </c>
    </row>
    <row r="16" customFormat="false" ht="51.75" hidden="false" customHeight="true" outlineLevel="0" collapsed="false">
      <c r="A16" s="42" t="s">
        <v>2041</v>
      </c>
      <c r="B16" s="42" t="s">
        <v>2042</v>
      </c>
      <c r="C16" s="42" t="s">
        <v>2043</v>
      </c>
      <c r="D16" s="43"/>
      <c r="E16" s="43"/>
      <c r="F16" s="43"/>
      <c r="G16" s="43"/>
      <c r="H16" s="42" t="s">
        <v>2039</v>
      </c>
      <c r="I16" s="42" t="s">
        <v>2044</v>
      </c>
    </row>
    <row r="17" customFormat="false" ht="51.75" hidden="false" customHeight="true" outlineLevel="0" collapsed="false">
      <c r="A17" s="42" t="s">
        <v>2045</v>
      </c>
      <c r="B17" s="42" t="s">
        <v>2046</v>
      </c>
      <c r="C17" s="42" t="s">
        <v>2047</v>
      </c>
      <c r="D17" s="43"/>
      <c r="E17" s="43"/>
      <c r="F17" s="43"/>
      <c r="G17" s="43"/>
      <c r="H17" s="42" t="s">
        <v>2039</v>
      </c>
      <c r="I17" s="42" t="s">
        <v>2048</v>
      </c>
    </row>
    <row r="18" customFormat="false" ht="51.75" hidden="false" customHeight="true" outlineLevel="0" collapsed="false">
      <c r="A18" s="42" t="s">
        <v>2049</v>
      </c>
      <c r="B18" s="42" t="s">
        <v>2050</v>
      </c>
      <c r="C18" s="42" t="s">
        <v>2051</v>
      </c>
      <c r="D18" s="43"/>
      <c r="E18" s="43"/>
      <c r="F18" s="43"/>
      <c r="G18" s="43"/>
      <c r="H18" s="42" t="s">
        <v>2039</v>
      </c>
      <c r="I18" s="42" t="s">
        <v>2023</v>
      </c>
    </row>
    <row r="19" customFormat="false" ht="51.75" hidden="false" customHeight="true" outlineLevel="0" collapsed="false">
      <c r="A19" s="42" t="s">
        <v>2052</v>
      </c>
      <c r="B19" s="42" t="s">
        <v>2053</v>
      </c>
      <c r="C19" s="42" t="s">
        <v>2054</v>
      </c>
      <c r="D19" s="43"/>
      <c r="E19" s="43"/>
      <c r="F19" s="43"/>
      <c r="G19" s="43"/>
      <c r="H19" s="42" t="s">
        <v>2039</v>
      </c>
      <c r="I19" s="42" t="s">
        <v>2055</v>
      </c>
    </row>
    <row r="20" customFormat="false" ht="51.75" hidden="false" customHeight="true" outlineLevel="0" collapsed="false">
      <c r="A20" s="42" t="s">
        <v>2056</v>
      </c>
      <c r="B20" s="42" t="s">
        <v>2057</v>
      </c>
      <c r="C20" s="42" t="s">
        <v>2058</v>
      </c>
      <c r="D20" s="43"/>
      <c r="E20" s="43"/>
      <c r="F20" s="43"/>
      <c r="G20" s="43"/>
      <c r="H20" s="42" t="s">
        <v>2018</v>
      </c>
      <c r="I20" s="42" t="s">
        <v>2059</v>
      </c>
    </row>
    <row r="21" customFormat="false" ht="51.75" hidden="false" customHeight="true" outlineLevel="0" collapsed="false">
      <c r="A21" s="42" t="s">
        <v>2060</v>
      </c>
      <c r="B21" s="42" t="s">
        <v>2061</v>
      </c>
      <c r="C21" s="42" t="s">
        <v>2062</v>
      </c>
      <c r="D21" s="43"/>
      <c r="E21" s="43"/>
      <c r="F21" s="43"/>
      <c r="G21" s="43"/>
      <c r="H21" s="42" t="s">
        <v>2018</v>
      </c>
      <c r="I21" s="42" t="s">
        <v>2063</v>
      </c>
    </row>
    <row r="22" customFormat="false" ht="51.75" hidden="false" customHeight="true" outlineLevel="0" collapsed="false">
      <c r="A22" s="42" t="s">
        <v>2064</v>
      </c>
      <c r="B22" s="42" t="s">
        <v>2065</v>
      </c>
      <c r="C22" s="42" t="s">
        <v>2066</v>
      </c>
      <c r="D22" s="43"/>
      <c r="E22" s="43"/>
      <c r="F22" s="43"/>
      <c r="G22" s="43"/>
      <c r="H22" s="42" t="s">
        <v>1997</v>
      </c>
      <c r="I22" s="42" t="s">
        <v>2067</v>
      </c>
    </row>
  </sheetData>
  <mergeCells count="1">
    <mergeCell ref="A1:I2"/>
  </mergeCells>
  <dataValidations count="3">
    <dataValidation allowBlank="false" errorStyle="stop" operator="between" showDropDown="false" showErrorMessage="false" showInputMessage="false" sqref="D5:D22" type="list">
      <formula1>"Diretto,Indiretto,Dipende"</formula1>
      <formula2>0</formula2>
    </dataValidation>
    <dataValidation allowBlank="false" errorStyle="stop" operator="between" showDropDown="false" showErrorMessage="false" showInputMessage="false" sqref="E5:E22" type="list">
      <formula1>"Fisso,Variabile,Misto,A gradini,Dipende"</formula1>
      <formula2>0</formula2>
    </dataValidation>
    <dataValidation allowBlank="false" errorStyle="stop" operator="between" showDropDown="false" showErrorMessage="false" showInputMessage="false" sqref="F5:F22" type="list">
      <formula1>"Rilevante,Irrilevante,Dipende"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48"/>
    <col collapsed="false" customWidth="true" hidden="false" outlineLevel="0" max="4" min="4" style="1" width="54"/>
    <col collapsed="false" customWidth="true" hidden="false" outlineLevel="0" max="5" min="5" style="1" width="24"/>
    <col collapsed="false" customWidth="true" hidden="false" outlineLevel="0" max="6" min="6" style="1" width="28"/>
    <col collapsed="false" customWidth="true" hidden="false" outlineLevel="0" max="10" min="7" style="1" width="18"/>
  </cols>
  <sheetData>
    <row r="1" customFormat="false" ht="31.5" hidden="false" customHeight="true" outlineLevel="0" collapsed="false">
      <c r="A1" s="40" t="s">
        <v>2068</v>
      </c>
      <c r="B1" s="40"/>
      <c r="C1" s="40"/>
      <c r="D1" s="40"/>
      <c r="E1" s="40"/>
      <c r="F1" s="40"/>
      <c r="G1" s="40"/>
      <c r="H1" s="40"/>
      <c r="I1" s="40"/>
      <c r="J1" s="40"/>
    </row>
    <row r="2" customFormat="false" ht="15" hidden="false" customHeight="true" outlineLevel="0" collapsed="false">
      <c r="A2" s="40"/>
      <c r="B2" s="40"/>
      <c r="C2" s="40"/>
      <c r="D2" s="40"/>
      <c r="E2" s="40"/>
      <c r="F2" s="40"/>
      <c r="G2" s="40"/>
      <c r="H2" s="40"/>
      <c r="I2" s="40"/>
      <c r="J2" s="40"/>
    </row>
    <row r="3" customFormat="false" ht="15" hidden="false" customHeight="true" outlineLevel="0" collapsed="false"/>
    <row r="4" customFormat="false" ht="24" hidden="false" customHeight="true" outlineLevel="0" collapsed="false">
      <c r="A4" s="44" t="s">
        <v>2069</v>
      </c>
      <c r="B4" s="44"/>
      <c r="C4" s="44"/>
      <c r="D4" s="44"/>
      <c r="E4" s="44"/>
      <c r="F4" s="44"/>
      <c r="G4" s="44"/>
      <c r="H4" s="44"/>
      <c r="I4" s="44"/>
      <c r="J4" s="44"/>
    </row>
    <row r="5" customFormat="false" ht="27.75" hidden="false" customHeight="true" outlineLevel="0" collapsed="false">
      <c r="A5" s="41" t="s">
        <v>2070</v>
      </c>
      <c r="B5" s="41" t="s">
        <v>2071</v>
      </c>
      <c r="C5" s="41" t="s">
        <v>637</v>
      </c>
      <c r="D5" s="41" t="s">
        <v>635</v>
      </c>
      <c r="F5" s="41" t="s">
        <v>2072</v>
      </c>
      <c r="G5" s="41" t="s">
        <v>2073</v>
      </c>
      <c r="H5" s="41" t="s">
        <v>2074</v>
      </c>
      <c r="I5" s="41" t="s">
        <v>1353</v>
      </c>
      <c r="J5" s="41" t="s">
        <v>2075</v>
      </c>
    </row>
    <row r="6" customFormat="false" ht="15" hidden="false" customHeight="true" outlineLevel="0" collapsed="false">
      <c r="A6" s="42" t="s">
        <v>1108</v>
      </c>
      <c r="B6" s="43" t="n">
        <v>12000</v>
      </c>
      <c r="C6" s="43" t="n">
        <v>6000</v>
      </c>
      <c r="D6" s="43" t="n">
        <v>6000</v>
      </c>
      <c r="F6" s="1" t="s">
        <v>2076</v>
      </c>
      <c r="G6" s="45" t="n">
        <f aca="false">$B$8/SUM($B$6:$D$6)</f>
        <v>5</v>
      </c>
      <c r="H6" s="45"/>
      <c r="I6" s="45"/>
      <c r="J6" s="45"/>
    </row>
    <row r="7" customFormat="false" ht="15" hidden="false" customHeight="true" outlineLevel="0" collapsed="false">
      <c r="A7" s="42" t="s">
        <v>2077</v>
      </c>
      <c r="B7" s="43" t="n">
        <v>8000</v>
      </c>
      <c r="C7" s="43" t="n">
        <v>12000</v>
      </c>
      <c r="D7" s="43" t="n">
        <v>2000</v>
      </c>
      <c r="F7" s="1" t="s">
        <v>2078</v>
      </c>
      <c r="G7" s="45"/>
      <c r="H7" s="45" t="n">
        <f aca="false">$G$6*B6</f>
        <v>60000</v>
      </c>
      <c r="I7" s="45" t="n">
        <f aca="false">$G$6*C6</f>
        <v>30000</v>
      </c>
      <c r="J7" s="45" t="n">
        <f aca="false">$G$6*D6</f>
        <v>30000</v>
      </c>
    </row>
    <row r="8" customFormat="false" ht="53.25" hidden="false" customHeight="true" outlineLevel="0" collapsed="false">
      <c r="A8" s="42" t="s">
        <v>2079</v>
      </c>
      <c r="B8" s="43" t="n">
        <v>120000</v>
      </c>
      <c r="C8" s="42"/>
      <c r="D8" s="42"/>
      <c r="F8" s="1" t="s">
        <v>2080</v>
      </c>
      <c r="G8" s="45" t="n">
        <f aca="false">SUM(H7:J7)-$B$8</f>
        <v>0</v>
      </c>
      <c r="H8" s="45"/>
      <c r="I8" s="45"/>
      <c r="J8" s="45"/>
    </row>
    <row r="9" customFormat="false" ht="15" hidden="false" customHeight="true" outlineLevel="0" collapsed="false"/>
    <row r="10" customFormat="false" ht="15" hidden="false" customHeight="true" outlineLevel="0" collapsed="false"/>
    <row r="11" customFormat="false" ht="24" hidden="false" customHeight="true" outlineLevel="0" collapsed="false">
      <c r="A11" s="44" t="s">
        <v>2081</v>
      </c>
      <c r="B11" s="44"/>
      <c r="C11" s="44"/>
      <c r="D11" s="44"/>
      <c r="E11" s="44"/>
      <c r="F11" s="44"/>
      <c r="G11" s="44"/>
      <c r="H11" s="44"/>
      <c r="I11" s="44"/>
      <c r="J11" s="44"/>
    </row>
    <row r="12" customFormat="false" ht="27.75" hidden="false" customHeight="true" outlineLevel="0" collapsed="false">
      <c r="A12" s="41" t="s">
        <v>116</v>
      </c>
      <c r="B12" s="41" t="s">
        <v>2074</v>
      </c>
      <c r="C12" s="41" t="s">
        <v>1353</v>
      </c>
      <c r="D12" s="41" t="s">
        <v>2075</v>
      </c>
      <c r="E12" s="41" t="s">
        <v>2082</v>
      </c>
      <c r="G12" s="41" t="s">
        <v>2083</v>
      </c>
      <c r="H12" s="41" t="s">
        <v>2074</v>
      </c>
      <c r="I12" s="41" t="s">
        <v>1353</v>
      </c>
      <c r="J12" s="41" t="s">
        <v>2075</v>
      </c>
    </row>
    <row r="13" customFormat="false" ht="15" hidden="false" customHeight="true" outlineLevel="0" collapsed="false">
      <c r="A13" s="42" t="s">
        <v>1108</v>
      </c>
      <c r="B13" s="42" t="n">
        <v>12000</v>
      </c>
      <c r="C13" s="42" t="n">
        <v>6000</v>
      </c>
      <c r="D13" s="42" t="n">
        <v>6000</v>
      </c>
      <c r="E13" s="46" t="n">
        <f aca="false">SUM(B13:D13)</f>
        <v>24000</v>
      </c>
      <c r="G13" s="1" t="s">
        <v>2084</v>
      </c>
      <c r="H13" s="45" t="n">
        <f aca="false">$B$15*B13/$E$13</f>
        <v>60000</v>
      </c>
      <c r="I13" s="45" t="n">
        <f aca="false">$B$15*C13/$E$13</f>
        <v>30000</v>
      </c>
      <c r="J13" s="45" t="n">
        <f aca="false">$B$15*D13/$E$13</f>
        <v>30000</v>
      </c>
    </row>
    <row r="14" customFormat="false" ht="15" hidden="false" customHeight="true" outlineLevel="0" collapsed="false">
      <c r="A14" s="42" t="s">
        <v>2077</v>
      </c>
      <c r="B14" s="42" t="n">
        <v>8000</v>
      </c>
      <c r="C14" s="42" t="n">
        <v>12000</v>
      </c>
      <c r="D14" s="42" t="n">
        <v>2000</v>
      </c>
      <c r="E14" s="46" t="n">
        <f aca="false">SUM(B14:D14)</f>
        <v>22000</v>
      </c>
      <c r="G14" s="1" t="s">
        <v>118</v>
      </c>
      <c r="H14" s="45" t="n">
        <f aca="false">$B$15*B14/$E$14</f>
        <v>43636.3636363636</v>
      </c>
      <c r="I14" s="45" t="n">
        <f aca="false">$B$15*C14/$E$14</f>
        <v>65454.5454545455</v>
      </c>
      <c r="J14" s="45" t="n">
        <f aca="false">$B$15*D14/$E$14</f>
        <v>10909.0909090909</v>
      </c>
    </row>
    <row r="15" customFormat="false" ht="15" hidden="false" customHeight="true" outlineLevel="0" collapsed="false">
      <c r="A15" s="42" t="s">
        <v>2085</v>
      </c>
      <c r="B15" s="42" t="n">
        <v>120000</v>
      </c>
      <c r="C15" s="42"/>
      <c r="D15" s="42"/>
      <c r="E15" s="42"/>
      <c r="G15" s="1" t="s">
        <v>259</v>
      </c>
      <c r="H15" s="45" t="n">
        <f aca="false">H14-H13</f>
        <v>-16363.6363636364</v>
      </c>
      <c r="I15" s="45" t="n">
        <f aca="false">I14-I13</f>
        <v>35454.5454545455</v>
      </c>
      <c r="J15" s="45" t="n">
        <f aca="false">J14-J13</f>
        <v>-19090.9090909091</v>
      </c>
    </row>
    <row r="16" customFormat="false" ht="15" hidden="false" customHeight="true" outlineLevel="0" collapsed="false"/>
    <row r="17" customFormat="false" ht="15" hidden="false" customHeight="true" outlineLevel="0" collapsed="false"/>
    <row r="18" customFormat="false" ht="24" hidden="false" customHeight="true" outlineLevel="0" collapsed="false">
      <c r="A18" s="44" t="s">
        <v>2086</v>
      </c>
      <c r="B18" s="44"/>
      <c r="C18" s="44"/>
      <c r="D18" s="44"/>
      <c r="E18" s="44"/>
      <c r="F18" s="44"/>
      <c r="G18" s="44"/>
      <c r="H18" s="44"/>
      <c r="I18" s="44"/>
      <c r="J18" s="44"/>
    </row>
    <row r="19" customFormat="false" ht="27.75" hidden="false" customHeight="true" outlineLevel="0" collapsed="false">
      <c r="A19" s="41" t="s">
        <v>1986</v>
      </c>
      <c r="B19" s="41" t="s">
        <v>2087</v>
      </c>
      <c r="C19" s="41" t="s">
        <v>2088</v>
      </c>
      <c r="D19" s="41" t="s">
        <v>2089</v>
      </c>
      <c r="E19" s="41" t="s">
        <v>2090</v>
      </c>
      <c r="F19" s="41" t="s">
        <v>2091</v>
      </c>
    </row>
    <row r="20" customFormat="false" ht="21.75" hidden="false" customHeight="true" outlineLevel="0" collapsed="false">
      <c r="A20" s="42" t="s">
        <v>2092</v>
      </c>
      <c r="B20" s="42" t="s">
        <v>2093</v>
      </c>
      <c r="C20" s="42" t="s">
        <v>2094</v>
      </c>
      <c r="D20" s="42" t="s">
        <v>2095</v>
      </c>
      <c r="E20" s="43"/>
      <c r="F20" s="42" t="s">
        <v>2096</v>
      </c>
    </row>
    <row r="21" customFormat="false" ht="15" hidden="false" customHeight="true" outlineLevel="0" collapsed="false">
      <c r="A21" s="42" t="s">
        <v>2097</v>
      </c>
      <c r="B21" s="42" t="s">
        <v>2098</v>
      </c>
      <c r="C21" s="42" t="s">
        <v>2099</v>
      </c>
      <c r="D21" s="42" t="s">
        <v>2100</v>
      </c>
      <c r="E21" s="43"/>
      <c r="F21" s="42" t="s">
        <v>2101</v>
      </c>
    </row>
    <row r="22" customFormat="false" ht="15" hidden="false" customHeight="true" outlineLevel="0" collapsed="false">
      <c r="A22" s="42" t="s">
        <v>2102</v>
      </c>
      <c r="B22" s="42" t="s">
        <v>2080</v>
      </c>
      <c r="C22" s="42" t="s">
        <v>2103</v>
      </c>
      <c r="D22" s="42" t="s">
        <v>2104</v>
      </c>
      <c r="E22" s="43"/>
      <c r="F22" s="42" t="s">
        <v>2105</v>
      </c>
    </row>
    <row r="23" customFormat="false" ht="21.75" hidden="false" customHeight="true" outlineLevel="0" collapsed="false">
      <c r="A23" s="42" t="s">
        <v>2106</v>
      </c>
      <c r="B23" s="42" t="s">
        <v>909</v>
      </c>
      <c r="C23" s="42" t="s">
        <v>2107</v>
      </c>
      <c r="D23" s="42" t="s">
        <v>2108</v>
      </c>
      <c r="E23" s="43"/>
      <c r="F23" s="42" t="s">
        <v>2109</v>
      </c>
    </row>
    <row r="24" customFormat="false" ht="21.75" hidden="false" customHeight="true" outlineLevel="0" collapsed="false">
      <c r="A24" s="42" t="s">
        <v>2110</v>
      </c>
      <c r="B24" s="42" t="s">
        <v>2111</v>
      </c>
      <c r="C24" s="42" t="s">
        <v>2112</v>
      </c>
      <c r="D24" s="42" t="s">
        <v>2113</v>
      </c>
      <c r="E24" s="43"/>
      <c r="F24" s="42" t="s">
        <v>2114</v>
      </c>
    </row>
    <row r="25" customFormat="false" ht="21.75" hidden="false" customHeight="true" outlineLevel="0" collapsed="false">
      <c r="A25" s="42" t="s">
        <v>2115</v>
      </c>
      <c r="B25" s="42" t="s">
        <v>2116</v>
      </c>
      <c r="C25" s="42" t="s">
        <v>2117</v>
      </c>
      <c r="D25" s="42" t="s">
        <v>2118</v>
      </c>
      <c r="E25" s="43"/>
      <c r="F25" s="42" t="s">
        <v>1108</v>
      </c>
    </row>
  </sheetData>
  <mergeCells count="4">
    <mergeCell ref="A1:J2"/>
    <mergeCell ref="A4:J4"/>
    <mergeCell ref="A11:J11"/>
    <mergeCell ref="A18:J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0"/>
    <col collapsed="false" customWidth="true" hidden="false" outlineLevel="0" max="5" min="4" style="1" width="22"/>
    <col collapsed="false" customWidth="true" hidden="false" outlineLevel="0" max="6" min="6" style="1" width="4"/>
    <col collapsed="false" customWidth="true" hidden="false" outlineLevel="0" max="7" min="7" style="1" width="30"/>
    <col collapsed="false" customWidth="true" hidden="false" outlineLevel="0" max="10" min="8" style="1" width="20"/>
  </cols>
  <sheetData>
    <row r="1" customFormat="false" ht="31.5" hidden="false" customHeight="true" outlineLevel="0" collapsed="false">
      <c r="A1" s="40" t="s">
        <v>2119</v>
      </c>
      <c r="B1" s="40"/>
      <c r="C1" s="40"/>
      <c r="D1" s="40"/>
      <c r="E1" s="40"/>
      <c r="F1" s="40"/>
      <c r="G1" s="40"/>
      <c r="H1" s="40"/>
      <c r="I1" s="40"/>
      <c r="J1" s="40"/>
    </row>
    <row r="2" customFormat="false" ht="15" hidden="false" customHeight="true" outlineLevel="0" collapsed="false">
      <c r="A2" s="40"/>
      <c r="B2" s="40"/>
      <c r="C2" s="40"/>
      <c r="D2" s="40"/>
      <c r="E2" s="40"/>
      <c r="F2" s="40"/>
      <c r="G2" s="40"/>
      <c r="H2" s="40"/>
      <c r="I2" s="40"/>
      <c r="J2" s="40"/>
    </row>
    <row r="3" customFormat="false" ht="15" hidden="false" customHeight="true" outlineLevel="0" collapsed="false"/>
    <row r="4" customFormat="false" ht="24" hidden="false" customHeight="true" outlineLevel="0" collapsed="false">
      <c r="A4" s="44" t="s">
        <v>2120</v>
      </c>
      <c r="B4" s="44"/>
      <c r="C4" s="44"/>
      <c r="D4" s="44"/>
      <c r="E4" s="44"/>
      <c r="F4" s="44"/>
      <c r="G4" s="44"/>
      <c r="H4" s="44"/>
      <c r="I4" s="44"/>
      <c r="J4" s="44"/>
    </row>
    <row r="5" customFormat="false" ht="27.75" hidden="false" customHeight="true" outlineLevel="0" collapsed="false">
      <c r="A5" s="41" t="s">
        <v>116</v>
      </c>
      <c r="B5" s="41" t="s">
        <v>2121</v>
      </c>
      <c r="D5" s="41" t="s">
        <v>2072</v>
      </c>
      <c r="E5" s="41" t="s">
        <v>117</v>
      </c>
    </row>
    <row r="6" customFormat="false" ht="15" hidden="false" customHeight="true" outlineLevel="0" collapsed="false">
      <c r="A6" s="42" t="s">
        <v>522</v>
      </c>
      <c r="B6" s="47" t="n">
        <v>45</v>
      </c>
      <c r="D6" s="1" t="s">
        <v>527</v>
      </c>
      <c r="E6" s="45" t="n">
        <f aca="false">B6+B7</f>
        <v>70</v>
      </c>
    </row>
    <row r="7" customFormat="false" ht="15" hidden="false" customHeight="true" outlineLevel="0" collapsed="false">
      <c r="A7" s="42" t="s">
        <v>524</v>
      </c>
      <c r="B7" s="47" t="n">
        <v>25</v>
      </c>
      <c r="D7" s="1" t="s">
        <v>528</v>
      </c>
      <c r="E7" s="45" t="n">
        <f aca="false">E6+B8</f>
        <v>88</v>
      </c>
    </row>
    <row r="8" customFormat="false" ht="15" hidden="false" customHeight="true" outlineLevel="0" collapsed="false">
      <c r="A8" s="42" t="s">
        <v>2122</v>
      </c>
      <c r="B8" s="47" t="n">
        <v>18</v>
      </c>
      <c r="D8" s="1" t="s">
        <v>529</v>
      </c>
      <c r="E8" s="45" t="n">
        <f aca="false">E7+B9</f>
        <v>100</v>
      </c>
    </row>
    <row r="9" customFormat="false" ht="15" hidden="false" customHeight="true" outlineLevel="0" collapsed="false">
      <c r="A9" s="42" t="s">
        <v>526</v>
      </c>
      <c r="B9" s="47" t="n">
        <v>12</v>
      </c>
      <c r="D9" s="1" t="s">
        <v>2123</v>
      </c>
      <c r="E9" s="45" t="n">
        <f aca="false">E8*B10</f>
        <v>500000</v>
      </c>
    </row>
    <row r="10" customFormat="false" ht="15" hidden="false" customHeight="true" outlineLevel="0" collapsed="false">
      <c r="A10" s="42" t="s">
        <v>1411</v>
      </c>
      <c r="B10" s="48" t="n">
        <v>5000</v>
      </c>
    </row>
    <row r="11" customFormat="false" ht="15" hidden="false" customHeight="true" outlineLevel="0" collapsed="false"/>
    <row r="12" customFormat="false" ht="24" hidden="false" customHeight="true" outlineLevel="0" collapsed="false">
      <c r="A12" s="44" t="s">
        <v>2124</v>
      </c>
      <c r="B12" s="44"/>
      <c r="C12" s="44"/>
      <c r="D12" s="44"/>
      <c r="E12" s="44"/>
      <c r="F12" s="44"/>
      <c r="G12" s="44"/>
      <c r="H12" s="44"/>
      <c r="I12" s="44"/>
      <c r="J12" s="44"/>
    </row>
    <row r="13" customFormat="false" ht="27.75" hidden="false" customHeight="true" outlineLevel="0" collapsed="false">
      <c r="A13" s="41" t="s">
        <v>2070</v>
      </c>
      <c r="B13" s="41" t="s">
        <v>117</v>
      </c>
      <c r="D13" s="41" t="s">
        <v>2072</v>
      </c>
      <c r="E13" s="41" t="s">
        <v>117</v>
      </c>
    </row>
    <row r="14" customFormat="false" ht="15" hidden="false" customHeight="true" outlineLevel="0" collapsed="false">
      <c r="A14" s="42" t="s">
        <v>658</v>
      </c>
      <c r="B14" s="47" t="n">
        <v>120</v>
      </c>
      <c r="D14" s="1" t="s">
        <v>661</v>
      </c>
      <c r="E14" s="45" t="n">
        <f aca="false">B14-B15</f>
        <v>48</v>
      </c>
    </row>
    <row r="15" customFormat="false" ht="15" hidden="false" customHeight="true" outlineLevel="0" collapsed="false">
      <c r="A15" s="42" t="s">
        <v>303</v>
      </c>
      <c r="B15" s="47" t="n">
        <v>72</v>
      </c>
      <c r="D15" s="1" t="s">
        <v>2125</v>
      </c>
      <c r="E15" s="49" t="n">
        <f aca="false">E14/B14</f>
        <v>0.4</v>
      </c>
    </row>
    <row r="16" customFormat="false" ht="15" hidden="false" customHeight="true" outlineLevel="0" collapsed="false">
      <c r="A16" s="42" t="s">
        <v>1411</v>
      </c>
      <c r="B16" s="48" t="n">
        <v>8000</v>
      </c>
      <c r="D16" s="1" t="s">
        <v>154</v>
      </c>
      <c r="E16" s="45" t="n">
        <f aca="false">E14*B16</f>
        <v>384000</v>
      </c>
    </row>
    <row r="17" customFormat="false" ht="15" hidden="false" customHeight="true" outlineLevel="0" collapsed="false">
      <c r="A17" s="42" t="s">
        <v>600</v>
      </c>
      <c r="B17" s="47" t="n">
        <v>180000</v>
      </c>
      <c r="D17" s="1" t="s">
        <v>602</v>
      </c>
      <c r="E17" s="45" t="n">
        <f aca="false">E16-B17</f>
        <v>204000</v>
      </c>
    </row>
    <row r="18" customFormat="false" ht="15" hidden="false" customHeight="true" outlineLevel="0" collapsed="false">
      <c r="A18" s="42" t="s">
        <v>601</v>
      </c>
      <c r="B18" s="47" t="n">
        <v>260000</v>
      </c>
      <c r="D18" s="1" t="s">
        <v>160</v>
      </c>
      <c r="E18" s="45" t="n">
        <f aca="false">E17-B18</f>
        <v>-56000</v>
      </c>
    </row>
    <row r="19" customFormat="false" ht="15" hidden="false" customHeight="true" outlineLevel="0" collapsed="false"/>
    <row r="20" customFormat="false" ht="15" hidden="false" customHeight="true" outlineLevel="0" collapsed="false"/>
    <row r="21" customFormat="false" ht="24" hidden="false" customHeight="true" outlineLevel="0" collapsed="false">
      <c r="A21" s="44" t="s">
        <v>2126</v>
      </c>
      <c r="B21" s="44"/>
      <c r="C21" s="44"/>
      <c r="D21" s="44"/>
      <c r="E21" s="44"/>
      <c r="F21" s="44"/>
      <c r="G21" s="44"/>
      <c r="H21" s="44"/>
      <c r="I21" s="44"/>
      <c r="J21" s="44"/>
    </row>
    <row r="22" customFormat="false" ht="27.75" hidden="false" customHeight="true" outlineLevel="0" collapsed="false">
      <c r="A22" s="41" t="s">
        <v>2070</v>
      </c>
      <c r="B22" s="41" t="s">
        <v>117</v>
      </c>
      <c r="D22" s="41" t="s">
        <v>2072</v>
      </c>
      <c r="E22" s="41" t="s">
        <v>117</v>
      </c>
    </row>
    <row r="23" customFormat="false" ht="15" hidden="false" customHeight="true" outlineLevel="0" collapsed="false">
      <c r="A23" s="42" t="s">
        <v>1068</v>
      </c>
      <c r="B23" s="47" t="n">
        <v>100</v>
      </c>
      <c r="D23" s="1" t="s">
        <v>661</v>
      </c>
      <c r="E23" s="45" t="n">
        <f aca="false">B23-B24</f>
        <v>40</v>
      </c>
    </row>
    <row r="24" customFormat="false" ht="15" hidden="false" customHeight="true" outlineLevel="0" collapsed="false">
      <c r="A24" s="42" t="s">
        <v>303</v>
      </c>
      <c r="B24" s="47" t="n">
        <v>60</v>
      </c>
      <c r="D24" s="1" t="s">
        <v>2127</v>
      </c>
      <c r="E24" s="50" t="n">
        <f aca="false">ROUNDUP(B25/E23,0)</f>
        <v>5000</v>
      </c>
    </row>
    <row r="25" customFormat="false" ht="15" hidden="false" customHeight="true" outlineLevel="0" collapsed="false">
      <c r="A25" s="42" t="s">
        <v>660</v>
      </c>
      <c r="B25" s="47" t="n">
        <v>200000</v>
      </c>
      <c r="D25" s="1" t="s">
        <v>679</v>
      </c>
      <c r="E25" s="45" t="n">
        <f aca="false">B25/(E23/B23)</f>
        <v>500000</v>
      </c>
    </row>
    <row r="26" customFormat="false" ht="15" hidden="false" customHeight="true" outlineLevel="0" collapsed="false">
      <c r="A26" s="42" t="s">
        <v>680</v>
      </c>
      <c r="B26" s="47" t="n">
        <v>80000</v>
      </c>
      <c r="D26" s="1" t="s">
        <v>2128</v>
      </c>
      <c r="E26" s="50" t="n">
        <f aca="false">ROUNDUP((B25+B26)/E23,0)</f>
        <v>7000</v>
      </c>
    </row>
    <row r="27" customFormat="false" ht="15" hidden="false" customHeight="true" outlineLevel="0" collapsed="false">
      <c r="D27" s="1" t="s">
        <v>2129</v>
      </c>
      <c r="E27" s="49" t="n">
        <f aca="false">(E26-E24)/E26</f>
        <v>0.285714285714286</v>
      </c>
    </row>
    <row r="28" customFormat="false" ht="15" hidden="false" customHeight="true" outlineLevel="0" collapsed="false"/>
    <row r="29" customFormat="false" ht="15" hidden="false" customHeight="true" outlineLevel="0" collapsed="false"/>
    <row r="30" customFormat="false" ht="24" hidden="false" customHeight="true" outlineLevel="0" collapsed="false">
      <c r="A30" s="44" t="s">
        <v>2130</v>
      </c>
      <c r="B30" s="44"/>
      <c r="C30" s="44"/>
      <c r="D30" s="44"/>
      <c r="E30" s="44"/>
      <c r="F30" s="44"/>
      <c r="G30" s="44"/>
      <c r="H30" s="44"/>
      <c r="I30" s="44"/>
      <c r="J30" s="44"/>
    </row>
    <row r="31" customFormat="false" ht="27.75" hidden="false" customHeight="true" outlineLevel="0" collapsed="false">
      <c r="A31" s="41" t="s">
        <v>2131</v>
      </c>
      <c r="B31" s="41" t="s">
        <v>2132</v>
      </c>
      <c r="C31" s="41" t="s">
        <v>2133</v>
      </c>
      <c r="D31" s="41" t="s">
        <v>2134</v>
      </c>
      <c r="E31" s="41" t="s">
        <v>2135</v>
      </c>
      <c r="G31" s="41" t="s">
        <v>2131</v>
      </c>
      <c r="H31" s="41" t="s">
        <v>2136</v>
      </c>
      <c r="I31" s="41" t="s">
        <v>2137</v>
      </c>
      <c r="J31" s="41" t="s">
        <v>2138</v>
      </c>
    </row>
    <row r="32" customFormat="false" ht="15" hidden="false" customHeight="true" outlineLevel="0" collapsed="false">
      <c r="A32" s="42" t="s">
        <v>382</v>
      </c>
      <c r="B32" s="47" t="n">
        <v>180000</v>
      </c>
      <c r="C32" s="43" t="n">
        <v>9000</v>
      </c>
      <c r="D32" s="43" t="n">
        <v>3000</v>
      </c>
      <c r="E32" s="43" t="n">
        <v>6000</v>
      </c>
      <c r="G32" s="1" t="s">
        <v>382</v>
      </c>
      <c r="H32" s="45" t="n">
        <f aca="false">B32/C32</f>
        <v>20</v>
      </c>
      <c r="I32" s="45" t="n">
        <f aca="false">H32*D32</f>
        <v>60000</v>
      </c>
      <c r="J32" s="45" t="n">
        <f aca="false">H32*E32</f>
        <v>120000</v>
      </c>
    </row>
    <row r="33" customFormat="false" ht="15" hidden="false" customHeight="true" outlineLevel="0" collapsed="false">
      <c r="A33" s="42" t="s">
        <v>2139</v>
      </c>
      <c r="B33" s="47" t="n">
        <v>120000</v>
      </c>
      <c r="C33" s="43" t="n">
        <v>240</v>
      </c>
      <c r="D33" s="43" t="n">
        <v>60</v>
      </c>
      <c r="E33" s="43" t="n">
        <v>180</v>
      </c>
      <c r="G33" s="1" t="s">
        <v>2139</v>
      </c>
      <c r="H33" s="45" t="n">
        <f aca="false">B33/C33</f>
        <v>500</v>
      </c>
      <c r="I33" s="45" t="n">
        <f aca="false">H33*D33</f>
        <v>30000</v>
      </c>
      <c r="J33" s="45" t="n">
        <f aca="false">H33*E33</f>
        <v>90000</v>
      </c>
    </row>
    <row r="34" customFormat="false" ht="15" hidden="false" customHeight="true" outlineLevel="0" collapsed="false">
      <c r="A34" s="42" t="s">
        <v>2140</v>
      </c>
      <c r="B34" s="47" t="n">
        <v>90000</v>
      </c>
      <c r="C34" s="43" t="n">
        <v>1800</v>
      </c>
      <c r="D34" s="43" t="n">
        <v>1200</v>
      </c>
      <c r="E34" s="43" t="n">
        <v>600</v>
      </c>
      <c r="G34" s="1" t="s">
        <v>2140</v>
      </c>
      <c r="H34" s="45" t="n">
        <f aca="false">B34/C34</f>
        <v>50</v>
      </c>
      <c r="I34" s="45" t="n">
        <f aca="false">H34*D34</f>
        <v>60000</v>
      </c>
      <c r="J34" s="45" t="n">
        <f aca="false">H34*E34</f>
        <v>30000</v>
      </c>
    </row>
    <row r="35" customFormat="false" ht="15" hidden="false" customHeight="true" outlineLevel="0" collapsed="false">
      <c r="A35" s="42" t="s">
        <v>2082</v>
      </c>
      <c r="B35" s="51" t="n">
        <f aca="false">SUM(B32:B34)</f>
        <v>390000</v>
      </c>
      <c r="C35" s="42"/>
      <c r="D35" s="42"/>
      <c r="E35" s="42"/>
      <c r="G35" s="1" t="s">
        <v>2082</v>
      </c>
      <c r="H35" s="45"/>
      <c r="I35" s="45" t="n">
        <f aca="false">SUM(I32:I34)</f>
        <v>150000</v>
      </c>
      <c r="J35" s="45" t="n">
        <f aca="false">SUM(J32:J34)</f>
        <v>240000</v>
      </c>
    </row>
  </sheetData>
  <mergeCells count="5">
    <mergeCell ref="A1:J2"/>
    <mergeCell ref="A4:J4"/>
    <mergeCell ref="A12:J12"/>
    <mergeCell ref="A21:J21"/>
    <mergeCell ref="A30:J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16"/>
    <col collapsed="false" customWidth="true" hidden="false" outlineLevel="0" max="6" min="6" style="1" width="30"/>
    <col collapsed="false" customWidth="true" hidden="false" outlineLevel="0" max="7" min="7" style="1" width="22"/>
    <col collapsed="false" customWidth="true" hidden="false" outlineLevel="0" max="8" min="8" style="1" width="24"/>
    <col collapsed="false" customWidth="true" hidden="false" outlineLevel="0" max="11" min="9" style="1" width="18"/>
  </cols>
  <sheetData>
    <row r="1" customFormat="false" ht="31.5" hidden="false" customHeight="true" outlineLevel="0" collapsed="false">
      <c r="A1" s="40" t="s">
        <v>2141</v>
      </c>
      <c r="B1" s="40"/>
      <c r="C1" s="40"/>
      <c r="D1" s="40"/>
      <c r="E1" s="40"/>
      <c r="F1" s="40"/>
      <c r="G1" s="40"/>
      <c r="H1" s="40"/>
      <c r="I1" s="40"/>
      <c r="J1" s="40"/>
      <c r="K1" s="40"/>
    </row>
    <row r="2" customFormat="false" ht="15" hidden="false" customHeight="true" outlineLevel="0" collapsed="false">
      <c r="A2" s="40"/>
      <c r="B2" s="40"/>
      <c r="C2" s="40"/>
      <c r="D2" s="40"/>
      <c r="E2" s="40"/>
      <c r="F2" s="40"/>
      <c r="G2" s="40"/>
      <c r="H2" s="40"/>
      <c r="I2" s="40"/>
      <c r="J2" s="40"/>
      <c r="K2" s="40"/>
    </row>
    <row r="3" customFormat="false" ht="15" hidden="false" customHeight="true" outlineLevel="0" collapsed="false"/>
    <row r="4" customFormat="false" ht="24" hidden="false" customHeight="true" outlineLevel="0" collapsed="false">
      <c r="A4" s="44" t="s">
        <v>2142</v>
      </c>
      <c r="B4" s="44"/>
      <c r="C4" s="44"/>
      <c r="D4" s="44"/>
      <c r="E4" s="44"/>
      <c r="F4" s="44"/>
      <c r="G4" s="44"/>
      <c r="H4" s="44"/>
      <c r="I4" s="44"/>
      <c r="J4" s="44"/>
      <c r="K4" s="44"/>
    </row>
    <row r="5" customFormat="false" ht="27.75" hidden="false" customHeight="true" outlineLevel="0" collapsed="false">
      <c r="A5" s="41" t="s">
        <v>2070</v>
      </c>
      <c r="B5" s="41" t="s">
        <v>2143</v>
      </c>
      <c r="C5" s="41" t="s">
        <v>2144</v>
      </c>
      <c r="D5" s="41" t="s">
        <v>2145</v>
      </c>
      <c r="E5" s="41" t="s">
        <v>2146</v>
      </c>
      <c r="F5" s="41" t="s">
        <v>2082</v>
      </c>
      <c r="H5" s="41" t="s">
        <v>2072</v>
      </c>
      <c r="I5" s="41" t="s">
        <v>2143</v>
      </c>
      <c r="J5" s="41" t="s">
        <v>2144</v>
      </c>
      <c r="K5" s="41" t="s">
        <v>2145</v>
      </c>
    </row>
    <row r="6" customFormat="false" ht="15" hidden="false" customHeight="true" outlineLevel="0" collapsed="false">
      <c r="A6" s="42" t="s">
        <v>2147</v>
      </c>
      <c r="B6" s="43" t="n">
        <v>1000</v>
      </c>
      <c r="C6" s="43" t="n">
        <v>1200</v>
      </c>
      <c r="D6" s="43" t="n">
        <v>1400</v>
      </c>
      <c r="E6" s="43" t="n">
        <v>1300</v>
      </c>
      <c r="F6" s="42" t="n">
        <f aca="false">SUM(B6:E6)</f>
        <v>4900</v>
      </c>
      <c r="H6" s="1" t="s">
        <v>599</v>
      </c>
      <c r="I6" s="45" t="n">
        <f aca="false">B6*B7</f>
        <v>50000</v>
      </c>
      <c r="J6" s="45" t="n">
        <f aca="false">C6*C7</f>
        <v>60000</v>
      </c>
      <c r="K6" s="45" t="n">
        <f aca="false">D6*D7</f>
        <v>72800</v>
      </c>
    </row>
    <row r="7" customFormat="false" ht="15" hidden="false" customHeight="true" outlineLevel="0" collapsed="false">
      <c r="A7" s="42" t="s">
        <v>658</v>
      </c>
      <c r="B7" s="43" t="n">
        <v>50</v>
      </c>
      <c r="C7" s="43" t="n">
        <v>50</v>
      </c>
      <c r="D7" s="43" t="n">
        <v>52</v>
      </c>
      <c r="E7" s="43" t="n">
        <v>52</v>
      </c>
      <c r="F7" s="42"/>
      <c r="H7" s="1" t="s">
        <v>2148</v>
      </c>
      <c r="I7" s="52" t="n">
        <f aca="false">C6*$B$8</f>
        <v>240</v>
      </c>
      <c r="J7" s="52" t="n">
        <f aca="false">D6*$C$8</f>
        <v>280</v>
      </c>
      <c r="K7" s="52" t="n">
        <f aca="false">E6*$D$8</f>
        <v>260</v>
      </c>
    </row>
    <row r="8" customFormat="false" ht="15" hidden="false" customHeight="true" outlineLevel="0" collapsed="false">
      <c r="A8" s="42" t="s">
        <v>2149</v>
      </c>
      <c r="B8" s="43" t="n">
        <v>0.2</v>
      </c>
      <c r="C8" s="43" t="n">
        <v>0.2</v>
      </c>
      <c r="D8" s="43" t="n">
        <v>0.2</v>
      </c>
      <c r="E8" s="43" t="n">
        <v>0.2</v>
      </c>
      <c r="F8" s="42"/>
      <c r="H8" s="1" t="s">
        <v>1058</v>
      </c>
      <c r="I8" s="52" t="n">
        <f aca="false">B6+I7-B9</f>
        <v>1040</v>
      </c>
      <c r="J8" s="52" t="n">
        <f aca="false">C6+J7-I7</f>
        <v>1240</v>
      </c>
      <c r="K8" s="52" t="n">
        <f aca="false">D6+K7-J7</f>
        <v>1380</v>
      </c>
    </row>
    <row r="9" customFormat="false" ht="15" hidden="false" customHeight="true" outlineLevel="0" collapsed="false">
      <c r="A9" s="42" t="s">
        <v>1057</v>
      </c>
      <c r="B9" s="43" t="n">
        <v>200</v>
      </c>
      <c r="C9" s="43"/>
      <c r="D9" s="43"/>
      <c r="E9" s="43"/>
      <c r="F9" s="42"/>
      <c r="H9" s="1" t="s">
        <v>2150</v>
      </c>
      <c r="I9" s="52" t="n">
        <v>3</v>
      </c>
      <c r="J9" s="52" t="n">
        <v>3</v>
      </c>
      <c r="K9" s="52" t="n">
        <v>3</v>
      </c>
    </row>
    <row r="10" customFormat="false" ht="15" hidden="false" customHeight="true" outlineLevel="0" collapsed="false">
      <c r="H10" s="1" t="s">
        <v>2151</v>
      </c>
      <c r="I10" s="52" t="n">
        <f aca="false">I8*I9</f>
        <v>3120</v>
      </c>
      <c r="J10" s="52" t="n">
        <f aca="false">J8*J9</f>
        <v>3720</v>
      </c>
      <c r="K10" s="52" t="n">
        <f aca="false">K8*K9</f>
        <v>4140</v>
      </c>
    </row>
    <row r="11" customFormat="false" ht="15" hidden="false" customHeight="true" outlineLevel="0" collapsed="false"/>
    <row r="12" customFormat="false" ht="15" hidden="false" customHeight="true" outlineLevel="0" collapsed="false"/>
    <row r="13" customFormat="false" ht="24" hidden="false" customHeight="true" outlineLevel="0" collapsed="false">
      <c r="A13" s="44" t="s">
        <v>2152</v>
      </c>
      <c r="B13" s="44"/>
      <c r="C13" s="44"/>
      <c r="D13" s="44"/>
      <c r="E13" s="44"/>
      <c r="F13" s="44"/>
      <c r="G13" s="44"/>
      <c r="H13" s="44"/>
      <c r="I13" s="44"/>
      <c r="J13" s="44"/>
      <c r="K13" s="44"/>
    </row>
    <row r="14" customFormat="false" ht="27.75" hidden="false" customHeight="true" outlineLevel="0" collapsed="false">
      <c r="A14" s="41" t="s">
        <v>116</v>
      </c>
      <c r="B14" s="41" t="s">
        <v>2153</v>
      </c>
      <c r="C14" s="41" t="s">
        <v>2154</v>
      </c>
      <c r="D14" s="41" t="s">
        <v>2155</v>
      </c>
      <c r="E14" s="41" t="s">
        <v>2156</v>
      </c>
      <c r="F14" s="41" t="s">
        <v>2157</v>
      </c>
    </row>
    <row r="15" customFormat="false" ht="15" hidden="false" customHeight="true" outlineLevel="0" collapsed="false">
      <c r="A15" s="42" t="s">
        <v>2158</v>
      </c>
      <c r="B15" s="43" t="n">
        <v>10000</v>
      </c>
      <c r="C15" s="43" t="n">
        <v>9500</v>
      </c>
      <c r="D15" s="46" t="n">
        <f aca="false">C15-B15</f>
        <v>-500</v>
      </c>
      <c r="E15" s="53" t="n">
        <f aca="false">IF(B15=0,"",D15/B15)</f>
        <v>-0.05</v>
      </c>
      <c r="F15" s="42" t="s">
        <v>2159</v>
      </c>
    </row>
    <row r="16" customFormat="false" ht="15" hidden="false" customHeight="true" outlineLevel="0" collapsed="false">
      <c r="A16" s="42" t="s">
        <v>731</v>
      </c>
      <c r="B16" s="43" t="n">
        <v>100</v>
      </c>
      <c r="C16" s="43" t="n">
        <v>103</v>
      </c>
      <c r="D16" s="46" t="n">
        <f aca="false">C16-B16</f>
        <v>3</v>
      </c>
      <c r="E16" s="53" t="n">
        <f aca="false">IF(B16=0,"",D16/B16)</f>
        <v>0.03</v>
      </c>
      <c r="F16" s="42" t="s">
        <v>2160</v>
      </c>
    </row>
    <row r="17" customFormat="false" ht="15" hidden="false" customHeight="true" outlineLevel="0" collapsed="false">
      <c r="A17" s="42" t="s">
        <v>599</v>
      </c>
      <c r="B17" s="47" t="n">
        <v>1000000</v>
      </c>
      <c r="C17" s="47" t="n">
        <v>978500</v>
      </c>
      <c r="D17" s="54" t="n">
        <f aca="false">C17-B17</f>
        <v>-21500</v>
      </c>
      <c r="E17" s="53" t="n">
        <f aca="false">IF(B17=0,"",D17/B17)</f>
        <v>-0.0215</v>
      </c>
      <c r="F17" s="42" t="s">
        <v>2161</v>
      </c>
    </row>
    <row r="18" customFormat="false" ht="15" hidden="false" customHeight="true" outlineLevel="0" collapsed="false">
      <c r="A18" s="42" t="s">
        <v>303</v>
      </c>
      <c r="B18" s="47" t="n">
        <v>60</v>
      </c>
      <c r="C18" s="47" t="n">
        <v>63</v>
      </c>
      <c r="D18" s="54" t="n">
        <f aca="false">C18-B18</f>
        <v>3</v>
      </c>
      <c r="E18" s="53" t="n">
        <f aca="false">IF(B18=0,"",D18/B18)</f>
        <v>0.05</v>
      </c>
      <c r="F18" s="42" t="s">
        <v>2161</v>
      </c>
    </row>
    <row r="19" customFormat="false" ht="15" hidden="false" customHeight="true" outlineLevel="0" collapsed="false">
      <c r="A19" s="42" t="s">
        <v>660</v>
      </c>
      <c r="B19" s="47" t="n">
        <v>250000</v>
      </c>
      <c r="C19" s="47" t="n">
        <v>260000</v>
      </c>
      <c r="D19" s="54" t="n">
        <f aca="false">C19-B19</f>
        <v>10000</v>
      </c>
      <c r="E19" s="53" t="n">
        <f aca="false">IF(B19=0,"",D19/B19)</f>
        <v>0.04</v>
      </c>
      <c r="F19" s="42" t="s">
        <v>2161</v>
      </c>
    </row>
    <row r="20" customFormat="false" ht="15" hidden="false" customHeight="true" outlineLevel="0" collapsed="false">
      <c r="A20" s="42" t="s">
        <v>160</v>
      </c>
      <c r="B20" s="47" t="n">
        <v>150000</v>
      </c>
      <c r="C20" s="55" t="n">
        <f aca="false">C17-(C15*C18)-C19</f>
        <v>120000</v>
      </c>
      <c r="D20" s="54" t="n">
        <f aca="false">C20-B20</f>
        <v>-30000</v>
      </c>
      <c r="E20" s="53" t="n">
        <f aca="false">IF(B20=0,"",D20/B20)</f>
        <v>-0.2</v>
      </c>
      <c r="F20" s="42" t="s">
        <v>2161</v>
      </c>
    </row>
    <row r="21" customFormat="false" ht="15" hidden="false" customHeight="true" outlineLevel="0" collapsed="false"/>
    <row r="22" customFormat="false" ht="15" hidden="false" customHeight="true" outlineLevel="0" collapsed="false"/>
    <row r="23" customFormat="false" ht="24" hidden="false" customHeight="true" outlineLevel="0" collapsed="false">
      <c r="A23" s="44" t="s">
        <v>2162</v>
      </c>
      <c r="B23" s="44"/>
      <c r="C23" s="44"/>
      <c r="D23" s="44"/>
      <c r="E23" s="44"/>
      <c r="F23" s="44"/>
      <c r="G23" s="44"/>
      <c r="H23" s="44"/>
      <c r="I23" s="44"/>
      <c r="J23" s="44"/>
      <c r="K23" s="44"/>
    </row>
    <row r="24" customFormat="false" ht="27.75" hidden="false" customHeight="true" outlineLevel="0" collapsed="false">
      <c r="A24" s="41" t="s">
        <v>2070</v>
      </c>
      <c r="B24" s="41" t="s">
        <v>2153</v>
      </c>
      <c r="C24" s="41" t="s">
        <v>2154</v>
      </c>
      <c r="D24" s="41" t="s">
        <v>2163</v>
      </c>
      <c r="F24" s="41" t="s">
        <v>2164</v>
      </c>
      <c r="G24" s="41" t="s">
        <v>117</v>
      </c>
    </row>
    <row r="25" customFormat="false" ht="15" hidden="false" customHeight="true" outlineLevel="0" collapsed="false">
      <c r="A25" s="42" t="s">
        <v>1411</v>
      </c>
      <c r="B25" s="43" t="n">
        <v>10000</v>
      </c>
      <c r="C25" s="43" t="n">
        <v>9500</v>
      </c>
      <c r="D25" s="42" t="s">
        <v>123</v>
      </c>
      <c r="F25" s="1" t="s">
        <v>2165</v>
      </c>
      <c r="G25" s="45" t="n">
        <f aca="false">(C25-B25)*B26</f>
        <v>-50000</v>
      </c>
    </row>
    <row r="26" customFormat="false" ht="15" hidden="false" customHeight="true" outlineLevel="0" collapsed="false">
      <c r="A26" s="42" t="s">
        <v>1068</v>
      </c>
      <c r="B26" s="43" t="n">
        <v>100</v>
      </c>
      <c r="C26" s="43" t="n">
        <v>103</v>
      </c>
      <c r="D26" s="42" t="s">
        <v>126</v>
      </c>
      <c r="F26" s="1" t="s">
        <v>2166</v>
      </c>
      <c r="G26" s="45" t="n">
        <f aca="false">(C26-B26)*C25</f>
        <v>28500</v>
      </c>
    </row>
    <row r="27" customFormat="false" ht="15" hidden="false" customHeight="true" outlineLevel="0" collapsed="false">
      <c r="A27" s="42" t="s">
        <v>303</v>
      </c>
      <c r="B27" s="43" t="n">
        <v>60</v>
      </c>
      <c r="C27" s="43" t="n">
        <v>63</v>
      </c>
      <c r="D27" s="42" t="s">
        <v>126</v>
      </c>
      <c r="F27" s="1" t="s">
        <v>2167</v>
      </c>
      <c r="G27" s="45" t="n">
        <f aca="false">C28-B28</f>
        <v>-21500</v>
      </c>
    </row>
    <row r="28" customFormat="false" ht="15" hidden="false" customHeight="true" outlineLevel="0" collapsed="false">
      <c r="A28" s="42" t="s">
        <v>599</v>
      </c>
      <c r="B28" s="51" t="n">
        <f aca="false">B25*B26</f>
        <v>1000000</v>
      </c>
      <c r="C28" s="51" t="n">
        <f aca="false">C25*C26</f>
        <v>978500</v>
      </c>
      <c r="D28" s="42" t="s">
        <v>140</v>
      </c>
      <c r="F28" s="1" t="s">
        <v>2168</v>
      </c>
      <c r="G28" s="45" t="n">
        <f aca="false">(C25-B25)*B27</f>
        <v>-30000</v>
      </c>
    </row>
    <row r="29" customFormat="false" ht="15" hidden="false" customHeight="true" outlineLevel="0" collapsed="false">
      <c r="A29" s="42" t="s">
        <v>268</v>
      </c>
      <c r="B29" s="51" t="n">
        <f aca="false">B25*B27</f>
        <v>600000</v>
      </c>
      <c r="C29" s="51" t="n">
        <f aca="false">C25*C27</f>
        <v>598500</v>
      </c>
      <c r="D29" s="42" t="s">
        <v>140</v>
      </c>
      <c r="F29" s="1" t="s">
        <v>2169</v>
      </c>
      <c r="G29" s="45" t="n">
        <f aca="false">(C27-B27)*C25</f>
        <v>28500</v>
      </c>
    </row>
  </sheetData>
  <mergeCells count="4">
    <mergeCell ref="A1:K2"/>
    <mergeCell ref="A4:K4"/>
    <mergeCell ref="A13:K13"/>
    <mergeCell ref="A23:K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0"/>
    <col collapsed="false" customWidth="true" hidden="false" outlineLevel="0" max="6" min="4" style="1" width="24"/>
    <col collapsed="false" customWidth="true" hidden="false" outlineLevel="0" max="7" min="7" style="1" width="4"/>
    <col collapsed="false" customWidth="true" hidden="false" outlineLevel="0" max="8" min="8" style="1" width="18"/>
    <col collapsed="false" customWidth="true" hidden="false" outlineLevel="0" max="9" min="9" style="1" width="20"/>
    <col collapsed="false" customWidth="true" hidden="false" outlineLevel="0" max="11" min="10" style="1" width="22"/>
  </cols>
  <sheetData>
    <row r="1" customFormat="false" ht="31.5" hidden="false" customHeight="true" outlineLevel="0" collapsed="false">
      <c r="A1" s="40" t="s">
        <v>2170</v>
      </c>
      <c r="B1" s="40"/>
      <c r="C1" s="40"/>
      <c r="D1" s="40"/>
      <c r="E1" s="40"/>
      <c r="F1" s="40"/>
      <c r="G1" s="40"/>
      <c r="H1" s="40"/>
      <c r="I1" s="40"/>
      <c r="J1" s="40"/>
      <c r="K1" s="40"/>
    </row>
    <row r="2" customFormat="false" ht="15" hidden="false" customHeight="true" outlineLevel="0" collapsed="false">
      <c r="A2" s="40"/>
      <c r="B2" s="40"/>
      <c r="C2" s="40"/>
      <c r="D2" s="40"/>
      <c r="E2" s="40"/>
      <c r="F2" s="40"/>
      <c r="G2" s="40"/>
      <c r="H2" s="40"/>
      <c r="I2" s="40"/>
      <c r="J2" s="40"/>
      <c r="K2" s="40"/>
    </row>
    <row r="3" customFormat="false" ht="15" hidden="false" customHeight="true" outlineLevel="0" collapsed="false"/>
    <row r="4" customFormat="false" ht="24" hidden="false" customHeight="true" outlineLevel="0" collapsed="false">
      <c r="A4" s="44" t="s">
        <v>2171</v>
      </c>
      <c r="B4" s="44"/>
      <c r="C4" s="44"/>
      <c r="D4" s="44"/>
      <c r="E4" s="44"/>
      <c r="F4" s="44"/>
      <c r="G4" s="44"/>
      <c r="H4" s="44"/>
      <c r="I4" s="44"/>
      <c r="J4" s="44"/>
      <c r="K4" s="44"/>
    </row>
    <row r="5" customFormat="false" ht="27.75" hidden="false" customHeight="true" outlineLevel="0" collapsed="false">
      <c r="A5" s="41" t="s">
        <v>2070</v>
      </c>
      <c r="B5" s="41" t="s">
        <v>117</v>
      </c>
      <c r="D5" s="41" t="s">
        <v>2072</v>
      </c>
      <c r="E5" s="41" t="s">
        <v>117</v>
      </c>
    </row>
    <row r="6" customFormat="false" ht="15" hidden="false" customHeight="true" outlineLevel="0" collapsed="false">
      <c r="A6" s="42" t="s">
        <v>2172</v>
      </c>
      <c r="B6" s="47" t="n">
        <v>90</v>
      </c>
      <c r="D6" s="1" t="s">
        <v>2173</v>
      </c>
      <c r="E6" s="45" t="n">
        <f aca="false">B6*B8</f>
        <v>180000</v>
      </c>
    </row>
    <row r="7" customFormat="false" ht="15" hidden="false" customHeight="true" outlineLevel="0" collapsed="false">
      <c r="A7" s="42" t="s">
        <v>303</v>
      </c>
      <c r="B7" s="47" t="n">
        <v>72</v>
      </c>
      <c r="D7" s="1" t="s">
        <v>2174</v>
      </c>
      <c r="E7" s="45" t="n">
        <f aca="false">(B7+B11)*B8+B9</f>
        <v>154000</v>
      </c>
    </row>
    <row r="8" customFormat="false" ht="15" hidden="false" customHeight="true" outlineLevel="0" collapsed="false">
      <c r="A8" s="42" t="s">
        <v>1411</v>
      </c>
      <c r="B8" s="48" t="n">
        <v>2000</v>
      </c>
      <c r="D8" s="1" t="s">
        <v>1305</v>
      </c>
      <c r="E8" s="45" t="n">
        <f aca="false">E6-E7</f>
        <v>26000</v>
      </c>
    </row>
    <row r="9" customFormat="false" ht="15" hidden="false" customHeight="true" outlineLevel="0" collapsed="false">
      <c r="A9" s="42" t="s">
        <v>2175</v>
      </c>
      <c r="B9" s="47" t="n">
        <v>10000</v>
      </c>
      <c r="D9" s="1" t="s">
        <v>2176</v>
      </c>
      <c r="E9" s="52" t="str">
        <f aca="false">IF(E8&gt;0,"Accettare, salvo vincoli qualitativi/commerciali","Rifiutare")</f>
        <v>Accettare, salvo vincoli qualitativi/commerciali</v>
      </c>
    </row>
    <row r="10" customFormat="false" ht="15" hidden="false" customHeight="true" outlineLevel="0" collapsed="false">
      <c r="A10" s="42" t="s">
        <v>2177</v>
      </c>
      <c r="B10" s="43" t="s">
        <v>2178</v>
      </c>
    </row>
    <row r="11" customFormat="false" ht="15" hidden="false" customHeight="true" outlineLevel="0" collapsed="false">
      <c r="A11" s="42" t="s">
        <v>2179</v>
      </c>
      <c r="B11" s="47" t="n">
        <v>0</v>
      </c>
    </row>
    <row r="12" customFormat="false" ht="15" hidden="false" customHeight="true" outlineLevel="0" collapsed="false"/>
    <row r="13" customFormat="false" ht="24" hidden="false" customHeight="true" outlineLevel="0" collapsed="false">
      <c r="A13" s="44" t="s">
        <v>2180</v>
      </c>
      <c r="B13" s="44"/>
      <c r="C13" s="44"/>
      <c r="D13" s="44"/>
      <c r="E13" s="44"/>
      <c r="F13" s="44"/>
      <c r="G13" s="44"/>
      <c r="H13" s="44"/>
      <c r="I13" s="44"/>
      <c r="J13" s="44"/>
      <c r="K13" s="44"/>
    </row>
    <row r="14" customFormat="false" ht="27.75" hidden="false" customHeight="true" outlineLevel="0" collapsed="false">
      <c r="A14" s="41" t="s">
        <v>116</v>
      </c>
      <c r="B14" s="41" t="s">
        <v>1431</v>
      </c>
      <c r="C14" s="41" t="s">
        <v>2181</v>
      </c>
      <c r="E14" s="41" t="s">
        <v>2072</v>
      </c>
      <c r="F14" s="41" t="s">
        <v>117</v>
      </c>
    </row>
    <row r="15" customFormat="false" ht="15" hidden="false" customHeight="true" outlineLevel="0" collapsed="false">
      <c r="A15" s="42" t="s">
        <v>2182</v>
      </c>
      <c r="B15" s="47" t="n">
        <v>60000</v>
      </c>
      <c r="C15" s="47" t="n">
        <v>140000</v>
      </c>
      <c r="E15" s="1" t="s">
        <v>2183</v>
      </c>
      <c r="F15" s="45" t="n">
        <f aca="false">SUM(B15:B20)</f>
        <v>155000</v>
      </c>
    </row>
    <row r="16" customFormat="false" ht="15" hidden="false" customHeight="true" outlineLevel="0" collapsed="false">
      <c r="A16" s="42" t="s">
        <v>2184</v>
      </c>
      <c r="B16" s="47" t="n">
        <v>40000</v>
      </c>
      <c r="C16" s="47" t="n">
        <v>0</v>
      </c>
      <c r="E16" s="1" t="s">
        <v>2185</v>
      </c>
      <c r="F16" s="45" t="n">
        <f aca="false">SUM(C15:C20)</f>
        <v>148000</v>
      </c>
    </row>
    <row r="17" customFormat="false" ht="15" hidden="false" customHeight="true" outlineLevel="0" collapsed="false">
      <c r="A17" s="42" t="s">
        <v>2186</v>
      </c>
      <c r="B17" s="47" t="n">
        <v>20000</v>
      </c>
      <c r="C17" s="47" t="n">
        <v>0</v>
      </c>
      <c r="E17" s="1" t="s">
        <v>2187</v>
      </c>
      <c r="F17" s="45" t="n">
        <f aca="false">F16-F15</f>
        <v>-7000</v>
      </c>
    </row>
    <row r="18" customFormat="false" ht="15" hidden="false" customHeight="true" outlineLevel="0" collapsed="false">
      <c r="A18" s="42" t="s">
        <v>2188</v>
      </c>
      <c r="B18" s="47" t="n">
        <v>20000</v>
      </c>
      <c r="C18" s="47" t="n">
        <v>0</v>
      </c>
      <c r="E18" s="1" t="s">
        <v>2189</v>
      </c>
      <c r="F18" s="52" t="str">
        <f aca="false">IF(F17&lt;0,"Buy meno costoso (sul costo rilevante)","Make meno costoso (sul costo rilevante)")</f>
        <v>Buy meno costoso (sul costo rilevante)</v>
      </c>
    </row>
    <row r="19" customFormat="false" ht="15" hidden="false" customHeight="true" outlineLevel="0" collapsed="false">
      <c r="A19" s="42" t="s">
        <v>2190</v>
      </c>
      <c r="B19" s="47" t="n">
        <v>0</v>
      </c>
      <c r="C19" s="47" t="n">
        <v>8000</v>
      </c>
    </row>
    <row r="20" customFormat="false" ht="21.75" hidden="false" customHeight="true" outlineLevel="0" collapsed="false">
      <c r="A20" s="42" t="s">
        <v>2191</v>
      </c>
      <c r="B20" s="47" t="n">
        <v>15000</v>
      </c>
      <c r="C20" s="47" t="n">
        <v>0</v>
      </c>
    </row>
    <row r="21" customFormat="false" ht="15" hidden="false" customHeight="true" outlineLevel="0" collapsed="false"/>
    <row r="22" customFormat="false" ht="15" hidden="false" customHeight="true" outlineLevel="0" collapsed="false"/>
    <row r="23" customFormat="false" ht="24" hidden="false" customHeight="true" outlineLevel="0" collapsed="false">
      <c r="A23" s="44" t="s">
        <v>2192</v>
      </c>
      <c r="B23" s="44"/>
      <c r="C23" s="44"/>
      <c r="D23" s="44"/>
      <c r="E23" s="44"/>
      <c r="F23" s="44"/>
      <c r="G23" s="44"/>
      <c r="H23" s="44"/>
      <c r="I23" s="44"/>
      <c r="J23" s="44"/>
      <c r="K23" s="44"/>
    </row>
    <row r="24" customFormat="false" ht="27.75" hidden="false" customHeight="true" outlineLevel="0" collapsed="false">
      <c r="A24" s="41" t="s">
        <v>2070</v>
      </c>
      <c r="B24" s="41" t="s">
        <v>117</v>
      </c>
      <c r="D24" s="41" t="s">
        <v>2072</v>
      </c>
      <c r="E24" s="41" t="s">
        <v>117</v>
      </c>
    </row>
    <row r="25" customFormat="false" ht="15" hidden="false" customHeight="true" outlineLevel="0" collapsed="false">
      <c r="A25" s="42" t="s">
        <v>1472</v>
      </c>
      <c r="B25" s="47" t="n">
        <v>80</v>
      </c>
      <c r="D25" s="1" t="s">
        <v>2193</v>
      </c>
      <c r="E25" s="45" t="n">
        <f aca="false">B25*(1+B26)</f>
        <v>100</v>
      </c>
    </row>
    <row r="26" customFormat="false" ht="15" hidden="false" customHeight="true" outlineLevel="0" collapsed="false">
      <c r="A26" s="42" t="s">
        <v>2194</v>
      </c>
      <c r="B26" s="56" t="n">
        <v>0.25</v>
      </c>
      <c r="D26" s="1" t="s">
        <v>2195</v>
      </c>
      <c r="E26" s="49" t="n">
        <f aca="false">(E25-B25)/E25</f>
        <v>0.2</v>
      </c>
    </row>
    <row r="27" customFormat="false" ht="15" hidden="false" customHeight="true" outlineLevel="0" collapsed="false">
      <c r="A27" s="42" t="s">
        <v>2196</v>
      </c>
      <c r="B27" s="56" t="n">
        <v>0.25</v>
      </c>
      <c r="D27" s="1" t="s">
        <v>2197</v>
      </c>
      <c r="E27" s="57" t="n">
        <f aca="false">B25/(1-B27)</f>
        <v>106.666666666667</v>
      </c>
    </row>
    <row r="28" customFormat="false" ht="15" hidden="false" customHeight="true" outlineLevel="0" collapsed="false">
      <c r="A28" s="42" t="s">
        <v>1411</v>
      </c>
      <c r="B28" s="48" t="n">
        <v>1000</v>
      </c>
      <c r="D28" s="1" t="s">
        <v>2198</v>
      </c>
      <c r="E28" s="49" t="n">
        <f aca="false">(E27-B25)/B25</f>
        <v>0.333333333333333</v>
      </c>
    </row>
    <row r="29" customFormat="false" ht="15" hidden="false" customHeight="true" outlineLevel="0" collapsed="false"/>
    <row r="30" customFormat="false" ht="15" hidden="false" customHeight="true" outlineLevel="0" collapsed="false"/>
    <row r="31" customFormat="false" ht="24" hidden="false" customHeight="true" outlineLevel="0" collapsed="false">
      <c r="A31" s="44" t="s">
        <v>2199</v>
      </c>
      <c r="B31" s="44"/>
      <c r="C31" s="44"/>
      <c r="D31" s="44"/>
      <c r="E31" s="44"/>
      <c r="F31" s="44"/>
      <c r="G31" s="44"/>
      <c r="H31" s="44"/>
      <c r="I31" s="44"/>
      <c r="J31" s="44"/>
      <c r="K31" s="44"/>
    </row>
    <row r="32" customFormat="false" ht="27.75" hidden="false" customHeight="true" outlineLevel="0" collapsed="false">
      <c r="A32" s="41" t="s">
        <v>2070</v>
      </c>
      <c r="B32" s="41" t="s">
        <v>117</v>
      </c>
      <c r="D32" s="41" t="s">
        <v>2072</v>
      </c>
      <c r="E32" s="41" t="s">
        <v>117</v>
      </c>
    </row>
    <row r="33" customFormat="false" ht="15" hidden="false" customHeight="true" outlineLevel="0" collapsed="false">
      <c r="A33" s="42" t="s">
        <v>2200</v>
      </c>
      <c r="B33" s="47" t="n">
        <v>100</v>
      </c>
      <c r="D33" s="1" t="s">
        <v>1493</v>
      </c>
      <c r="E33" s="45" t="n">
        <f aca="false">B33-B34</f>
        <v>30</v>
      </c>
    </row>
    <row r="34" customFormat="false" ht="15" hidden="false" customHeight="true" outlineLevel="0" collapsed="false">
      <c r="A34" s="42" t="s">
        <v>268</v>
      </c>
      <c r="B34" s="47" t="n">
        <v>70</v>
      </c>
      <c r="D34" s="1" t="s">
        <v>1498</v>
      </c>
      <c r="E34" s="45" t="n">
        <f aca="false">E33*B35</f>
        <v>30000</v>
      </c>
    </row>
    <row r="35" customFormat="false" ht="15" hidden="false" customHeight="true" outlineLevel="0" collapsed="false">
      <c r="A35" s="42" t="s">
        <v>2201</v>
      </c>
      <c r="B35" s="48" t="n">
        <v>1000</v>
      </c>
      <c r="D35" s="1" t="s">
        <v>2202</v>
      </c>
      <c r="E35" s="45" t="n">
        <f aca="false">B33*(1-B36)</f>
        <v>95</v>
      </c>
    </row>
    <row r="36" customFormat="false" ht="15" hidden="false" customHeight="true" outlineLevel="0" collapsed="false">
      <c r="A36" s="42" t="s">
        <v>1491</v>
      </c>
      <c r="B36" s="56" t="n">
        <v>0.05</v>
      </c>
      <c r="D36" s="1" t="s">
        <v>2203</v>
      </c>
      <c r="E36" s="45" t="n">
        <f aca="false">E35-B34</f>
        <v>25</v>
      </c>
    </row>
    <row r="37" customFormat="false" ht="15" hidden="false" customHeight="true" outlineLevel="0" collapsed="false">
      <c r="D37" s="1" t="s">
        <v>2204</v>
      </c>
      <c r="E37" s="50" t="n">
        <f aca="false">E34/E36</f>
        <v>1200</v>
      </c>
    </row>
    <row r="38" customFormat="false" ht="15" hidden="false" customHeight="true" outlineLevel="0" collapsed="false">
      <c r="D38" s="1" t="s">
        <v>2205</v>
      </c>
      <c r="E38" s="49" t="n">
        <f aca="false">E37/B35-1</f>
        <v>0.2</v>
      </c>
    </row>
    <row r="39" customFormat="false" ht="15" hidden="false" customHeight="true" outlineLevel="0" collapsed="false"/>
    <row r="40" customFormat="false" ht="15" hidden="false" customHeight="true" outlineLevel="0" collapsed="false"/>
    <row r="41" customFormat="false" ht="24" hidden="false" customHeight="true" outlineLevel="0" collapsed="false">
      <c r="A41" s="44" t="s">
        <v>2206</v>
      </c>
      <c r="B41" s="44"/>
      <c r="C41" s="44"/>
      <c r="D41" s="44"/>
      <c r="E41" s="44"/>
      <c r="F41" s="44"/>
      <c r="G41" s="44"/>
      <c r="H41" s="44"/>
      <c r="I41" s="44"/>
      <c r="J41" s="44"/>
      <c r="K41" s="44"/>
    </row>
    <row r="42" customFormat="false" ht="27.75" hidden="false" customHeight="true" outlineLevel="0" collapsed="false">
      <c r="A42" s="41" t="s">
        <v>2207</v>
      </c>
      <c r="B42" s="41" t="s">
        <v>733</v>
      </c>
      <c r="C42" s="41" t="s">
        <v>2208</v>
      </c>
      <c r="D42" s="41" t="s">
        <v>2209</v>
      </c>
      <c r="E42" s="41" t="s">
        <v>2210</v>
      </c>
      <c r="F42" s="41" t="s">
        <v>2211</v>
      </c>
      <c r="H42" s="41" t="s">
        <v>2212</v>
      </c>
      <c r="I42" s="41" t="s">
        <v>2207</v>
      </c>
      <c r="J42" s="41" t="s">
        <v>2213</v>
      </c>
      <c r="K42" s="41" t="s">
        <v>626</v>
      </c>
    </row>
    <row r="43" customFormat="false" ht="15" hidden="false" customHeight="true" outlineLevel="0" collapsed="false">
      <c r="A43" s="42" t="s">
        <v>2074</v>
      </c>
      <c r="B43" s="47" t="n">
        <v>63</v>
      </c>
      <c r="C43" s="43" t="n">
        <v>1.5</v>
      </c>
      <c r="D43" s="54" t="n">
        <f aca="false">B43/C43</f>
        <v>42</v>
      </c>
      <c r="E43" s="43" t="n">
        <v>8000</v>
      </c>
      <c r="F43" s="46" t="n">
        <f aca="false">C43*E43</f>
        <v>12000</v>
      </c>
      <c r="H43" s="1" t="n">
        <v>1</v>
      </c>
      <c r="I43" s="1" t="s">
        <v>1353</v>
      </c>
      <c r="J43" s="1" t="n">
        <v>12000</v>
      </c>
      <c r="K43" s="45" t="n">
        <f aca="false">$B$44*J43</f>
        <v>456000</v>
      </c>
    </row>
    <row r="44" customFormat="false" ht="15" hidden="false" customHeight="true" outlineLevel="0" collapsed="false">
      <c r="A44" s="42" t="s">
        <v>1353</v>
      </c>
      <c r="B44" s="47" t="n">
        <v>38</v>
      </c>
      <c r="C44" s="43" t="n">
        <v>0.5</v>
      </c>
      <c r="D44" s="54" t="n">
        <f aca="false">B44/C44</f>
        <v>76</v>
      </c>
      <c r="E44" s="43" t="n">
        <v>12000</v>
      </c>
      <c r="F44" s="46" t="n">
        <f aca="false">C44*E44</f>
        <v>6000</v>
      </c>
      <c r="H44" s="1" t="n">
        <v>2</v>
      </c>
      <c r="I44" s="1" t="s">
        <v>2074</v>
      </c>
      <c r="J44" s="1" t="n">
        <v>8000</v>
      </c>
      <c r="K44" s="45" t="n">
        <f aca="false">$B$43*J44</f>
        <v>504000</v>
      </c>
    </row>
    <row r="45" customFormat="false" ht="15" hidden="false" customHeight="true" outlineLevel="0" collapsed="false">
      <c r="A45" s="42" t="s">
        <v>2075</v>
      </c>
      <c r="B45" s="47" t="n">
        <v>51</v>
      </c>
      <c r="C45" s="43" t="n">
        <v>3</v>
      </c>
      <c r="D45" s="54" t="n">
        <f aca="false">B45/C45</f>
        <v>17</v>
      </c>
      <c r="E45" s="43" t="n">
        <v>2000</v>
      </c>
      <c r="F45" s="46" t="n">
        <f aca="false">C45*E45</f>
        <v>6000</v>
      </c>
      <c r="H45" s="1" t="n">
        <v>3</v>
      </c>
      <c r="I45" s="1" t="s">
        <v>2075</v>
      </c>
      <c r="J45" s="1" t="n">
        <v>1000</v>
      </c>
      <c r="K45" s="45" t="n">
        <f aca="false">$B$45*J45</f>
        <v>51000</v>
      </c>
    </row>
    <row r="46" customFormat="false" ht="15" hidden="false" customHeight="true" outlineLevel="0" collapsed="false">
      <c r="A46" s="42" t="s">
        <v>2214</v>
      </c>
      <c r="B46" s="43" t="n">
        <v>21000</v>
      </c>
      <c r="C46" s="42"/>
      <c r="D46" s="42"/>
      <c r="E46" s="42"/>
      <c r="F46" s="42"/>
      <c r="H46" s="1" t="s">
        <v>2082</v>
      </c>
      <c r="J46" s="1" t="n">
        <f aca="false">SUM(J43:J45)</f>
        <v>21000</v>
      </c>
      <c r="K46" s="45" t="n">
        <f aca="false">SUM(K43:K45)</f>
        <v>1011000</v>
      </c>
    </row>
  </sheetData>
  <mergeCells count="6">
    <mergeCell ref="A1:K2"/>
    <mergeCell ref="A4:K4"/>
    <mergeCell ref="A13:K13"/>
    <mergeCell ref="A23:K23"/>
    <mergeCell ref="A31:K31"/>
    <mergeCell ref="A41:K4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40"/>
    <col collapsed="false" customWidth="true" hidden="false" outlineLevel="0" max="4" min="4" style="1" width="52"/>
    <col collapsed="false" customWidth="true" hidden="false" outlineLevel="0" max="7" min="5" style="1" width="42"/>
    <col collapsed="false" customWidth="true" hidden="false" outlineLevel="0" max="8" min="8" style="1" width="14"/>
    <col collapsed="false" customWidth="true" hidden="false" outlineLevel="0" max="9" min="9" style="1" width="22"/>
  </cols>
  <sheetData>
    <row r="1" customFormat="false" ht="31.5" hidden="false" customHeight="true" outlineLevel="0" collapsed="false">
      <c r="A1" s="40" t="s">
        <v>2215</v>
      </c>
      <c r="B1" s="40"/>
      <c r="C1" s="40"/>
      <c r="D1" s="40"/>
      <c r="E1" s="40"/>
      <c r="F1" s="40"/>
      <c r="G1" s="40"/>
      <c r="H1" s="40"/>
      <c r="I1" s="40"/>
    </row>
    <row r="2" customFormat="false" ht="15" hidden="false" customHeight="true" outlineLevel="0" collapsed="false">
      <c r="A2" s="40"/>
      <c r="B2" s="40"/>
      <c r="C2" s="40"/>
      <c r="D2" s="40"/>
      <c r="E2" s="40"/>
      <c r="F2" s="40"/>
      <c r="G2" s="40"/>
      <c r="H2" s="40"/>
      <c r="I2" s="40"/>
    </row>
    <row r="3" customFormat="false" ht="15" hidden="false" customHeight="true" outlineLevel="0" collapsed="false">
      <c r="A3" s="58" t="s">
        <v>2216</v>
      </c>
      <c r="B3" s="58"/>
      <c r="C3" s="58"/>
      <c r="D3" s="58"/>
      <c r="E3" s="58"/>
      <c r="F3" s="58"/>
      <c r="G3" s="58"/>
      <c r="H3" s="58"/>
      <c r="I3" s="58"/>
    </row>
    <row r="4" customFormat="false" ht="15" hidden="false" customHeight="true" outlineLevel="0" collapsed="false"/>
    <row r="5" customFormat="false" ht="27.75" hidden="false" customHeight="true" outlineLevel="0" collapsed="false">
      <c r="A5" s="41" t="s">
        <v>1986</v>
      </c>
      <c r="B5" s="41" t="s">
        <v>2087</v>
      </c>
      <c r="C5" s="41" t="s">
        <v>2217</v>
      </c>
      <c r="D5" s="41" t="s">
        <v>2218</v>
      </c>
      <c r="E5" s="41" t="s">
        <v>2219</v>
      </c>
      <c r="F5" s="41" t="s">
        <v>2220</v>
      </c>
      <c r="G5" s="41" t="s">
        <v>2221</v>
      </c>
      <c r="H5" s="41" t="s">
        <v>1992</v>
      </c>
      <c r="I5" s="41" t="s">
        <v>2222</v>
      </c>
    </row>
    <row r="6" customFormat="false" ht="66" hidden="false" customHeight="true" outlineLevel="0" collapsed="false">
      <c r="A6" s="42" t="s">
        <v>2223</v>
      </c>
      <c r="B6" s="42" t="s">
        <v>2224</v>
      </c>
      <c r="C6" s="42" t="s">
        <v>2225</v>
      </c>
      <c r="D6" s="42" t="s">
        <v>2226</v>
      </c>
      <c r="E6" s="42" t="s">
        <v>2227</v>
      </c>
      <c r="F6" s="42" t="s">
        <v>2228</v>
      </c>
      <c r="G6" s="42" t="s">
        <v>2229</v>
      </c>
      <c r="H6" s="42" t="s">
        <v>1997</v>
      </c>
      <c r="I6" s="42" t="s">
        <v>2230</v>
      </c>
    </row>
    <row r="7" customFormat="false" ht="66" hidden="false" customHeight="true" outlineLevel="0" collapsed="false">
      <c r="A7" s="42" t="s">
        <v>2231</v>
      </c>
      <c r="B7" s="42" t="s">
        <v>2232</v>
      </c>
      <c r="C7" s="42" t="s">
        <v>2233</v>
      </c>
      <c r="D7" s="42" t="s">
        <v>2234</v>
      </c>
      <c r="E7" s="42" t="s">
        <v>2235</v>
      </c>
      <c r="F7" s="42" t="s">
        <v>2236</v>
      </c>
      <c r="G7" s="42" t="s">
        <v>2237</v>
      </c>
      <c r="H7" s="42" t="s">
        <v>2018</v>
      </c>
      <c r="I7" s="42" t="s">
        <v>2238</v>
      </c>
    </row>
    <row r="8" customFormat="false" ht="66" hidden="false" customHeight="true" outlineLevel="0" collapsed="false">
      <c r="A8" s="42" t="s">
        <v>2239</v>
      </c>
      <c r="B8" s="42" t="s">
        <v>2240</v>
      </c>
      <c r="C8" s="42" t="s">
        <v>2241</v>
      </c>
      <c r="D8" s="42" t="s">
        <v>2242</v>
      </c>
      <c r="E8" s="42" t="s">
        <v>2243</v>
      </c>
      <c r="F8" s="42" t="s">
        <v>2244</v>
      </c>
      <c r="G8" s="42" t="s">
        <v>2245</v>
      </c>
      <c r="H8" s="42" t="s">
        <v>2018</v>
      </c>
      <c r="I8" s="42" t="s">
        <v>2246</v>
      </c>
    </row>
    <row r="9" customFormat="false" ht="66" hidden="false" customHeight="true" outlineLevel="0" collapsed="false">
      <c r="A9" s="42" t="s">
        <v>2247</v>
      </c>
      <c r="B9" s="42" t="s">
        <v>2248</v>
      </c>
      <c r="C9" s="42" t="s">
        <v>2249</v>
      </c>
      <c r="D9" s="42" t="s">
        <v>2250</v>
      </c>
      <c r="E9" s="42" t="s">
        <v>2251</v>
      </c>
      <c r="F9" s="42" t="s">
        <v>2252</v>
      </c>
      <c r="G9" s="42" t="s">
        <v>2253</v>
      </c>
      <c r="H9" s="42" t="s">
        <v>2039</v>
      </c>
      <c r="I9" s="42" t="s">
        <v>2254</v>
      </c>
    </row>
    <row r="10" customFormat="false" ht="66" hidden="false" customHeight="true" outlineLevel="0" collapsed="false">
      <c r="A10" s="42" t="s">
        <v>2255</v>
      </c>
      <c r="B10" s="42" t="s">
        <v>2256</v>
      </c>
      <c r="C10" s="42" t="s">
        <v>2257</v>
      </c>
      <c r="D10" s="42" t="s">
        <v>2258</v>
      </c>
      <c r="E10" s="42" t="s">
        <v>2259</v>
      </c>
      <c r="F10" s="42" t="s">
        <v>2260</v>
      </c>
      <c r="G10" s="42" t="s">
        <v>2261</v>
      </c>
      <c r="H10" s="42" t="s">
        <v>2039</v>
      </c>
      <c r="I10" s="42" t="s">
        <v>2262</v>
      </c>
    </row>
    <row r="11" customFormat="false" ht="66" hidden="false" customHeight="true" outlineLevel="0" collapsed="false">
      <c r="A11" s="42" t="s">
        <v>2263</v>
      </c>
      <c r="B11" s="42" t="s">
        <v>2264</v>
      </c>
      <c r="C11" s="42" t="s">
        <v>2265</v>
      </c>
      <c r="D11" s="42" t="s">
        <v>2266</v>
      </c>
      <c r="E11" s="42" t="s">
        <v>2267</v>
      </c>
      <c r="F11" s="42" t="s">
        <v>2268</v>
      </c>
      <c r="G11" s="42" t="s">
        <v>2269</v>
      </c>
      <c r="H11" s="42" t="s">
        <v>2039</v>
      </c>
      <c r="I11" s="42" t="s">
        <v>2270</v>
      </c>
    </row>
    <row r="12" customFormat="false" ht="66" hidden="false" customHeight="true" outlineLevel="0" collapsed="false">
      <c r="A12" s="42" t="s">
        <v>2271</v>
      </c>
      <c r="B12" s="42" t="s">
        <v>2272</v>
      </c>
      <c r="C12" s="42" t="s">
        <v>2273</v>
      </c>
      <c r="D12" s="42" t="s">
        <v>2274</v>
      </c>
      <c r="E12" s="42" t="s">
        <v>2275</v>
      </c>
      <c r="F12" s="42" t="s">
        <v>2276</v>
      </c>
      <c r="G12" s="42" t="s">
        <v>2277</v>
      </c>
      <c r="H12" s="42" t="s">
        <v>2018</v>
      </c>
      <c r="I12" s="42" t="s">
        <v>2278</v>
      </c>
    </row>
    <row r="13" customFormat="false" ht="66" hidden="false" customHeight="true" outlineLevel="0" collapsed="false">
      <c r="A13" s="42" t="s">
        <v>2279</v>
      </c>
      <c r="B13" s="42" t="s">
        <v>2280</v>
      </c>
      <c r="C13" s="42" t="s">
        <v>2281</v>
      </c>
      <c r="D13" s="42" t="s">
        <v>2282</v>
      </c>
      <c r="E13" s="42" t="s">
        <v>2283</v>
      </c>
      <c r="F13" s="42" t="s">
        <v>2284</v>
      </c>
      <c r="G13" s="42" t="s">
        <v>2285</v>
      </c>
      <c r="H13" s="42" t="s">
        <v>1997</v>
      </c>
      <c r="I13" s="42" t="s">
        <v>2286</v>
      </c>
    </row>
    <row r="14" customFormat="false" ht="66" hidden="false" customHeight="true" outlineLevel="0" collapsed="false">
      <c r="A14" s="42" t="s">
        <v>2287</v>
      </c>
      <c r="B14" s="42" t="s">
        <v>2288</v>
      </c>
      <c r="C14" s="42" t="s">
        <v>2289</v>
      </c>
      <c r="D14" s="42" t="s">
        <v>2290</v>
      </c>
      <c r="E14" s="42" t="s">
        <v>2291</v>
      </c>
      <c r="F14" s="42" t="s">
        <v>2292</v>
      </c>
      <c r="G14" s="42" t="s">
        <v>2293</v>
      </c>
      <c r="H14" s="42" t="s">
        <v>2039</v>
      </c>
      <c r="I14" s="42" t="s">
        <v>2294</v>
      </c>
    </row>
    <row r="15" customFormat="false" ht="66" hidden="false" customHeight="true" outlineLevel="0" collapsed="false">
      <c r="A15" s="42" t="s">
        <v>2295</v>
      </c>
      <c r="B15" s="42" t="s">
        <v>2296</v>
      </c>
      <c r="C15" s="42" t="s">
        <v>2297</v>
      </c>
      <c r="D15" s="42" t="s">
        <v>2298</v>
      </c>
      <c r="E15" s="42" t="s">
        <v>2299</v>
      </c>
      <c r="F15" s="42" t="s">
        <v>2300</v>
      </c>
      <c r="G15" s="42" t="s">
        <v>2301</v>
      </c>
      <c r="H15" s="42" t="s">
        <v>1997</v>
      </c>
      <c r="I15" s="42" t="s">
        <v>2302</v>
      </c>
    </row>
  </sheetData>
  <mergeCells count="2">
    <mergeCell ref="A1:I2"/>
    <mergeCell ref="A3:I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14"/>
    <col collapsed="false" customWidth="true" hidden="false" outlineLevel="0" max="4" min="4" style="1" width="24"/>
    <col collapsed="false" customWidth="true" hidden="false" outlineLevel="0" max="5" min="5" style="1" width="46"/>
    <col collapsed="false" customWidth="true" hidden="false" outlineLevel="0" max="6" min="6" style="1" width="54"/>
    <col collapsed="false" customWidth="true" hidden="false" outlineLevel="0" max="7" min="7" style="1" width="20"/>
    <col collapsed="false" customWidth="true" hidden="false" outlineLevel="0" max="8" min="8" style="1" width="12"/>
    <col collapsed="false" customWidth="true" hidden="false" outlineLevel="0" max="9" min="9" style="1" width="40"/>
    <col collapsed="false" customWidth="true" hidden="false" outlineLevel="0" max="10" min="10" style="1" width="20"/>
  </cols>
  <sheetData>
    <row r="1" customFormat="false" ht="31.5" hidden="false" customHeight="true" outlineLevel="0" collapsed="false">
      <c r="A1" s="40" t="s">
        <v>2303</v>
      </c>
      <c r="B1" s="40"/>
      <c r="C1" s="40"/>
      <c r="D1" s="40"/>
      <c r="E1" s="40"/>
      <c r="F1" s="40"/>
      <c r="G1" s="40"/>
      <c r="H1" s="40"/>
      <c r="I1" s="40"/>
      <c r="J1" s="40"/>
    </row>
    <row r="2" customFormat="false" ht="15" hidden="false" customHeight="true" outlineLevel="0" collapsed="false">
      <c r="A2" s="40"/>
      <c r="B2" s="40"/>
      <c r="C2" s="40"/>
      <c r="D2" s="40"/>
      <c r="E2" s="40"/>
      <c r="F2" s="40"/>
      <c r="G2" s="40"/>
      <c r="H2" s="40"/>
      <c r="I2" s="40"/>
      <c r="J2" s="40"/>
    </row>
    <row r="3" customFormat="false" ht="15" hidden="false" customHeight="true" outlineLevel="0" collapsed="false">
      <c r="A3" s="59" t="s">
        <v>2304</v>
      </c>
      <c r="B3" s="59"/>
      <c r="C3" s="59"/>
      <c r="D3" s="59"/>
      <c r="E3" s="59"/>
      <c r="F3" s="59"/>
      <c r="G3" s="59"/>
      <c r="H3" s="59"/>
      <c r="I3" s="59"/>
      <c r="J3" s="59"/>
    </row>
    <row r="4" customFormat="false" ht="15" hidden="false" customHeight="true" outlineLevel="0" collapsed="false"/>
    <row r="5" customFormat="false" ht="27.75" hidden="false" customHeight="true" outlineLevel="0" collapsed="false">
      <c r="A5" s="41" t="s">
        <v>1986</v>
      </c>
      <c r="B5" s="41" t="s">
        <v>2305</v>
      </c>
      <c r="C5" s="41" t="s">
        <v>1992</v>
      </c>
      <c r="D5" s="41" t="s">
        <v>2087</v>
      </c>
      <c r="E5" s="41" t="s">
        <v>2306</v>
      </c>
      <c r="F5" s="41" t="s">
        <v>2089</v>
      </c>
      <c r="G5" s="41" t="s">
        <v>2090</v>
      </c>
      <c r="H5" s="41" t="s">
        <v>118</v>
      </c>
      <c r="I5" s="41" t="s">
        <v>2307</v>
      </c>
      <c r="J5" s="41" t="s">
        <v>2308</v>
      </c>
    </row>
    <row r="6" customFormat="false" ht="54" hidden="false" customHeight="true" outlineLevel="0" collapsed="false">
      <c r="A6" s="60" t="s">
        <v>2309</v>
      </c>
      <c r="B6" s="42" t="n">
        <v>20</v>
      </c>
      <c r="C6" s="42" t="s">
        <v>1997</v>
      </c>
      <c r="D6" s="42" t="s">
        <v>2310</v>
      </c>
      <c r="E6" s="42" t="s">
        <v>2311</v>
      </c>
      <c r="F6" s="42" t="s">
        <v>2312</v>
      </c>
      <c r="G6" s="43"/>
      <c r="H6" s="42" t="s">
        <v>319</v>
      </c>
      <c r="I6" s="42" t="s">
        <v>2313</v>
      </c>
      <c r="J6" s="42" t="s">
        <v>2314</v>
      </c>
    </row>
    <row r="7" customFormat="false" ht="54" hidden="false" customHeight="true" outlineLevel="0" collapsed="false">
      <c r="A7" s="60" t="s">
        <v>2315</v>
      </c>
      <c r="B7" s="42" t="n">
        <v>1</v>
      </c>
      <c r="C7" s="42" t="s">
        <v>1997</v>
      </c>
      <c r="D7" s="42" t="s">
        <v>2316</v>
      </c>
      <c r="E7" s="42" t="s">
        <v>2317</v>
      </c>
      <c r="F7" s="42" t="s">
        <v>2318</v>
      </c>
      <c r="G7" s="43"/>
      <c r="H7" s="42" t="s">
        <v>140</v>
      </c>
      <c r="I7" s="42" t="s">
        <v>2319</v>
      </c>
      <c r="J7" s="42" t="s">
        <v>2314</v>
      </c>
    </row>
    <row r="8" customFormat="false" ht="54" hidden="false" customHeight="true" outlineLevel="0" collapsed="false">
      <c r="A8" s="60" t="s">
        <v>2320</v>
      </c>
      <c r="B8" s="42" t="n">
        <v>20</v>
      </c>
      <c r="C8" s="42" t="s">
        <v>1997</v>
      </c>
      <c r="D8" s="42" t="s">
        <v>2321</v>
      </c>
      <c r="E8" s="42" t="s">
        <v>2322</v>
      </c>
      <c r="F8" s="42" t="s">
        <v>2323</v>
      </c>
      <c r="G8" s="43"/>
      <c r="H8" s="42" t="s">
        <v>319</v>
      </c>
      <c r="I8" s="42" t="s">
        <v>2324</v>
      </c>
      <c r="J8" s="42" t="s">
        <v>2314</v>
      </c>
    </row>
    <row r="9" customFormat="false" ht="54" hidden="false" customHeight="true" outlineLevel="0" collapsed="false">
      <c r="A9" s="60" t="s">
        <v>2325</v>
      </c>
      <c r="B9" s="42" t="n">
        <v>20</v>
      </c>
      <c r="C9" s="42" t="s">
        <v>2018</v>
      </c>
      <c r="D9" s="42" t="s">
        <v>2326</v>
      </c>
      <c r="E9" s="42" t="s">
        <v>2327</v>
      </c>
      <c r="F9" s="42" t="s">
        <v>2328</v>
      </c>
      <c r="G9" s="43"/>
      <c r="H9" s="42" t="s">
        <v>319</v>
      </c>
      <c r="I9" s="42" t="s">
        <v>2329</v>
      </c>
      <c r="J9" s="42" t="s">
        <v>2314</v>
      </c>
    </row>
    <row r="10" customFormat="false" ht="54" hidden="false" customHeight="true" outlineLevel="0" collapsed="false">
      <c r="A10" s="60" t="s">
        <v>2330</v>
      </c>
      <c r="B10" s="42" t="n">
        <v>1</v>
      </c>
      <c r="C10" s="42" t="s">
        <v>2018</v>
      </c>
      <c r="D10" s="42" t="s">
        <v>2331</v>
      </c>
      <c r="E10" s="42" t="s">
        <v>2332</v>
      </c>
      <c r="F10" s="42" t="s">
        <v>2333</v>
      </c>
      <c r="G10" s="43"/>
      <c r="H10" s="42" t="s">
        <v>319</v>
      </c>
      <c r="I10" s="42" t="s">
        <v>2334</v>
      </c>
      <c r="J10" s="42" t="s">
        <v>2314</v>
      </c>
    </row>
    <row r="11" customFormat="false" ht="54" hidden="false" customHeight="true" outlineLevel="0" collapsed="false">
      <c r="A11" s="60" t="s">
        <v>2335</v>
      </c>
      <c r="B11" s="42" t="n">
        <v>1</v>
      </c>
      <c r="C11" s="42" t="s">
        <v>2018</v>
      </c>
      <c r="D11" s="42" t="s">
        <v>2336</v>
      </c>
      <c r="E11" s="42" t="s">
        <v>2337</v>
      </c>
      <c r="F11" s="42" t="s">
        <v>2338</v>
      </c>
      <c r="G11" s="43"/>
      <c r="H11" s="42" t="s">
        <v>319</v>
      </c>
      <c r="I11" s="42" t="s">
        <v>2339</v>
      </c>
      <c r="J11" s="42" t="s">
        <v>2314</v>
      </c>
    </row>
    <row r="12" customFormat="false" ht="54" hidden="false" customHeight="true" outlineLevel="0" collapsed="false">
      <c r="A12" s="60" t="s">
        <v>2340</v>
      </c>
      <c r="B12" s="42" t="n">
        <v>1</v>
      </c>
      <c r="C12" s="42" t="s">
        <v>2018</v>
      </c>
      <c r="D12" s="42" t="s">
        <v>2341</v>
      </c>
      <c r="E12" s="42" t="s">
        <v>2342</v>
      </c>
      <c r="F12" s="42" t="s">
        <v>2343</v>
      </c>
      <c r="G12" s="43"/>
      <c r="H12" s="42" t="s">
        <v>140</v>
      </c>
      <c r="I12" s="42" t="s">
        <v>2344</v>
      </c>
      <c r="J12" s="42" t="s">
        <v>2314</v>
      </c>
    </row>
    <row r="13" customFormat="false" ht="54" hidden="false" customHeight="true" outlineLevel="0" collapsed="false">
      <c r="A13" s="60" t="s">
        <v>2345</v>
      </c>
      <c r="B13" s="42" t="n">
        <v>20</v>
      </c>
      <c r="C13" s="42" t="s">
        <v>2018</v>
      </c>
      <c r="D13" s="42" t="s">
        <v>2346</v>
      </c>
      <c r="E13" s="42" t="s">
        <v>2347</v>
      </c>
      <c r="F13" s="42" t="s">
        <v>2348</v>
      </c>
      <c r="G13" s="43"/>
      <c r="H13" s="42" t="s">
        <v>140</v>
      </c>
      <c r="I13" s="42" t="s">
        <v>2349</v>
      </c>
      <c r="J13" s="42" t="s">
        <v>2314</v>
      </c>
    </row>
    <row r="14" customFormat="false" ht="54" hidden="false" customHeight="true" outlineLevel="0" collapsed="false">
      <c r="A14" s="60" t="s">
        <v>2350</v>
      </c>
      <c r="B14" s="42" t="n">
        <v>20</v>
      </c>
      <c r="C14" s="42" t="s">
        <v>2018</v>
      </c>
      <c r="D14" s="42" t="s">
        <v>2351</v>
      </c>
      <c r="E14" s="42" t="s">
        <v>2352</v>
      </c>
      <c r="F14" s="42" t="s">
        <v>2353</v>
      </c>
      <c r="G14" s="43"/>
      <c r="H14" s="42" t="s">
        <v>140</v>
      </c>
      <c r="I14" s="42" t="s">
        <v>2354</v>
      </c>
      <c r="J14" s="42" t="s">
        <v>2314</v>
      </c>
    </row>
    <row r="15" customFormat="false" ht="54" hidden="false" customHeight="true" outlineLevel="0" collapsed="false">
      <c r="A15" s="60" t="s">
        <v>2355</v>
      </c>
      <c r="B15" s="42" t="n">
        <v>1</v>
      </c>
      <c r="C15" s="42" t="s">
        <v>2039</v>
      </c>
      <c r="D15" s="42" t="s">
        <v>2356</v>
      </c>
      <c r="E15" s="42" t="s">
        <v>2357</v>
      </c>
      <c r="F15" s="42" t="s">
        <v>2358</v>
      </c>
      <c r="G15" s="43"/>
      <c r="H15" s="42" t="s">
        <v>2359</v>
      </c>
      <c r="I15" s="42" t="s">
        <v>2360</v>
      </c>
      <c r="J15" s="42" t="s">
        <v>2314</v>
      </c>
    </row>
    <row r="16" customFormat="false" ht="54" hidden="false" customHeight="true" outlineLevel="0" collapsed="false">
      <c r="A16" s="60" t="s">
        <v>2361</v>
      </c>
      <c r="B16" s="42" t="n">
        <v>20</v>
      </c>
      <c r="C16" s="42" t="s">
        <v>2039</v>
      </c>
      <c r="D16" s="42" t="s">
        <v>2362</v>
      </c>
      <c r="E16" s="42" t="s">
        <v>2363</v>
      </c>
      <c r="F16" s="42" t="s">
        <v>2364</v>
      </c>
      <c r="G16" s="43"/>
      <c r="H16" s="42" t="s">
        <v>2359</v>
      </c>
      <c r="I16" s="42" t="s">
        <v>2365</v>
      </c>
      <c r="J16" s="42" t="s">
        <v>2314</v>
      </c>
    </row>
    <row r="17" customFormat="false" ht="54" hidden="false" customHeight="true" outlineLevel="0" collapsed="false">
      <c r="A17" s="60" t="s">
        <v>2366</v>
      </c>
      <c r="B17" s="42" t="n">
        <v>20</v>
      </c>
      <c r="C17" s="42" t="s">
        <v>2039</v>
      </c>
      <c r="D17" s="42" t="s">
        <v>2367</v>
      </c>
      <c r="E17" s="42" t="s">
        <v>2368</v>
      </c>
      <c r="F17" s="42" t="s">
        <v>2369</v>
      </c>
      <c r="G17" s="43"/>
      <c r="H17" s="42" t="s">
        <v>319</v>
      </c>
      <c r="I17" s="42" t="s">
        <v>2370</v>
      </c>
      <c r="J17" s="42" t="s">
        <v>2314</v>
      </c>
    </row>
    <row r="18" customFormat="false" ht="54" hidden="false" customHeight="true" outlineLevel="0" collapsed="false">
      <c r="A18" s="60" t="s">
        <v>2371</v>
      </c>
      <c r="B18" s="42" t="n">
        <v>20</v>
      </c>
      <c r="C18" s="42" t="s">
        <v>2039</v>
      </c>
      <c r="D18" s="42" t="s">
        <v>2372</v>
      </c>
      <c r="E18" s="42" t="s">
        <v>2373</v>
      </c>
      <c r="F18" s="42" t="s">
        <v>2374</v>
      </c>
      <c r="G18" s="43"/>
      <c r="H18" s="42" t="s">
        <v>140</v>
      </c>
      <c r="I18" s="42" t="s">
        <v>2319</v>
      </c>
      <c r="J18" s="42" t="s">
        <v>2314</v>
      </c>
    </row>
    <row r="19" customFormat="false" ht="54" hidden="false" customHeight="true" outlineLevel="0" collapsed="false">
      <c r="A19" s="60" t="s">
        <v>2375</v>
      </c>
      <c r="B19" s="42" t="n">
        <v>20</v>
      </c>
      <c r="C19" s="42" t="s">
        <v>2039</v>
      </c>
      <c r="D19" s="42" t="s">
        <v>2376</v>
      </c>
      <c r="E19" s="42" t="s">
        <v>2377</v>
      </c>
      <c r="F19" s="42" t="s">
        <v>2378</v>
      </c>
      <c r="G19" s="43"/>
      <c r="H19" s="42" t="s">
        <v>319</v>
      </c>
      <c r="I19" s="42" t="s">
        <v>2370</v>
      </c>
      <c r="J19" s="42" t="s">
        <v>2314</v>
      </c>
    </row>
    <row r="20" customFormat="false" ht="54" hidden="false" customHeight="true" outlineLevel="0" collapsed="false">
      <c r="A20" s="60" t="s">
        <v>2379</v>
      </c>
      <c r="B20" s="42" t="n">
        <v>1</v>
      </c>
      <c r="C20" s="42" t="s">
        <v>2039</v>
      </c>
      <c r="D20" s="42" t="s">
        <v>2080</v>
      </c>
      <c r="E20" s="42" t="s">
        <v>2380</v>
      </c>
      <c r="F20" s="42" t="s">
        <v>2381</v>
      </c>
      <c r="G20" s="43"/>
      <c r="H20" s="42" t="s">
        <v>140</v>
      </c>
      <c r="I20" s="42" t="s">
        <v>2382</v>
      </c>
      <c r="J20" s="42" t="s">
        <v>2314</v>
      </c>
    </row>
  </sheetData>
  <mergeCells count="2">
    <mergeCell ref="A1:J2"/>
    <mergeCell ref="A3:J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4" min="3" style="1" width="34"/>
    <col collapsed="false" customWidth="true" hidden="false" outlineLevel="0" max="5" min="5" style="1" width="50"/>
    <col collapsed="false" customWidth="true" hidden="false" outlineLevel="0" max="6" min="6" style="1" width="18"/>
    <col collapsed="false" customWidth="true" hidden="false" outlineLevel="0" max="7" min="7" style="1" width="22"/>
    <col collapsed="false" customWidth="true" hidden="false" outlineLevel="0" max="8" min="8" style="1" width="26"/>
  </cols>
  <sheetData>
    <row r="1" customFormat="false" ht="31.5" hidden="false" customHeight="true" outlineLevel="0" collapsed="false">
      <c r="A1" s="40" t="s">
        <v>2383</v>
      </c>
      <c r="B1" s="40"/>
      <c r="C1" s="40"/>
      <c r="D1" s="40"/>
      <c r="E1" s="40"/>
      <c r="F1" s="40"/>
      <c r="G1" s="40"/>
      <c r="H1" s="40"/>
    </row>
    <row r="2" customFormat="false" ht="15" hidden="false" customHeight="true" outlineLevel="0" collapsed="false">
      <c r="A2" s="40"/>
      <c r="B2" s="40"/>
      <c r="C2" s="40"/>
      <c r="D2" s="40"/>
      <c r="E2" s="40"/>
      <c r="F2" s="40"/>
      <c r="G2" s="40"/>
      <c r="H2" s="40"/>
    </row>
    <row r="3" customFormat="false" ht="15" hidden="false" customHeight="true" outlineLevel="0" collapsed="false">
      <c r="A3" s="59" t="s">
        <v>2384</v>
      </c>
      <c r="B3" s="59"/>
      <c r="C3" s="59"/>
      <c r="D3" s="59"/>
      <c r="E3" s="59"/>
      <c r="F3" s="59"/>
      <c r="G3" s="59"/>
      <c r="H3" s="59"/>
    </row>
    <row r="4" customFormat="false" ht="15" hidden="false" customHeight="true" outlineLevel="0" collapsed="false"/>
    <row r="5" customFormat="false" ht="27.75" hidden="false" customHeight="true" outlineLevel="0" collapsed="false">
      <c r="A5" s="41" t="s">
        <v>1986</v>
      </c>
      <c r="B5" s="41" t="s">
        <v>8</v>
      </c>
      <c r="C5" s="41" t="s">
        <v>2385</v>
      </c>
      <c r="D5" s="41" t="s">
        <v>2386</v>
      </c>
      <c r="E5" s="41" t="s">
        <v>2387</v>
      </c>
      <c r="F5" s="41" t="s">
        <v>2388</v>
      </c>
      <c r="G5" s="41" t="s">
        <v>2308</v>
      </c>
      <c r="H5" s="41" t="s">
        <v>1993</v>
      </c>
    </row>
    <row r="6" customFormat="false" ht="45.75" hidden="false" customHeight="true" outlineLevel="0" collapsed="false">
      <c r="A6" s="60" t="s">
        <v>2309</v>
      </c>
      <c r="B6" s="42" t="s">
        <v>97</v>
      </c>
      <c r="C6" s="42" t="s">
        <v>2389</v>
      </c>
      <c r="D6" s="42" t="n">
        <f aca="false">Bilancio_Alfa_2024!B27/Bilancio_Alfa_2024!C27-1</f>
        <v>0.0535522247284292</v>
      </c>
      <c r="E6" s="42" t="s">
        <v>2390</v>
      </c>
      <c r="F6" s="42" t="s">
        <v>2391</v>
      </c>
      <c r="G6" s="42" t="s">
        <v>2314</v>
      </c>
      <c r="H6" s="42"/>
    </row>
    <row r="7" customFormat="false" ht="45.75" hidden="false" customHeight="true" outlineLevel="0" collapsed="false">
      <c r="A7" s="60" t="s">
        <v>2315</v>
      </c>
      <c r="B7" s="42" t="s">
        <v>97</v>
      </c>
      <c r="C7" s="42" t="s">
        <v>2392</v>
      </c>
      <c r="D7" s="42" t="n">
        <f aca="false">Bilancio_Alfa_2024!B43-Bilancio_Alfa_2024!C43</f>
        <v>47155</v>
      </c>
      <c r="E7" s="42" t="s">
        <v>2393</v>
      </c>
      <c r="F7" s="42" t="s">
        <v>2391</v>
      </c>
      <c r="G7" s="42" t="s">
        <v>2314</v>
      </c>
      <c r="H7" s="42"/>
    </row>
    <row r="8" customFormat="false" ht="45.75" hidden="false" customHeight="true" outlineLevel="0" collapsed="false">
      <c r="A8" s="60" t="s">
        <v>2320</v>
      </c>
      <c r="B8" s="42" t="s">
        <v>97</v>
      </c>
      <c r="C8" s="42" t="s">
        <v>2394</v>
      </c>
      <c r="D8" s="42" t="n">
        <f aca="false">Bilancio_Alfa_2024!B10/Bilancio_Alfa_2024!B27</f>
        <v>0.185255444877919</v>
      </c>
      <c r="E8" s="42" t="s">
        <v>2395</v>
      </c>
      <c r="F8" s="42" t="s">
        <v>2391</v>
      </c>
      <c r="G8" s="42" t="s">
        <v>2314</v>
      </c>
      <c r="H8" s="42"/>
    </row>
    <row r="9" customFormat="false" ht="45.75" hidden="false" customHeight="true" outlineLevel="0" collapsed="false">
      <c r="A9" s="60" t="s">
        <v>2325</v>
      </c>
      <c r="B9" s="42" t="s">
        <v>97</v>
      </c>
      <c r="C9" s="42" t="s">
        <v>2396</v>
      </c>
      <c r="D9" s="42" t="n">
        <f aca="false">Bilancio_Alfa_2024!B38/Bilancio_Alfa_2024!B27</f>
        <v>0.0818619761990946</v>
      </c>
      <c r="E9" s="42" t="s">
        <v>2397</v>
      </c>
      <c r="F9" s="42" t="s">
        <v>2391</v>
      </c>
      <c r="G9" s="42" t="s">
        <v>2314</v>
      </c>
      <c r="H9" s="42"/>
    </row>
    <row r="10" customFormat="false" ht="45.75" hidden="false" customHeight="true" outlineLevel="0" collapsed="false">
      <c r="A10" s="60" t="s">
        <v>2330</v>
      </c>
      <c r="B10" s="42" t="s">
        <v>97</v>
      </c>
      <c r="C10" s="42" t="s">
        <v>2398</v>
      </c>
      <c r="D10" s="42" t="n">
        <f aca="false">Bilancio_Alfa_2024!B43/Bilancio_Alfa_2024!B27</f>
        <v>0.0479105313569257</v>
      </c>
      <c r="E10" s="42" t="s">
        <v>2399</v>
      </c>
      <c r="F10" s="42" t="s">
        <v>2391</v>
      </c>
      <c r="G10" s="42" t="s">
        <v>2314</v>
      </c>
      <c r="H10" s="42"/>
    </row>
    <row r="11" customFormat="false" ht="45.75" hidden="false" customHeight="true" outlineLevel="0" collapsed="false">
      <c r="A11" s="60" t="s">
        <v>2335</v>
      </c>
      <c r="B11" s="42" t="s">
        <v>97</v>
      </c>
      <c r="C11" s="42" t="s">
        <v>2400</v>
      </c>
      <c r="D11" s="42" t="n">
        <f aca="false">Bilancio_Alfa_2024!B19/Bilancio_Alfa_2024!B16</f>
        <v>0.437542823633502</v>
      </c>
      <c r="E11" s="42" t="s">
        <v>2401</v>
      </c>
      <c r="F11" s="42" t="s">
        <v>2391</v>
      </c>
      <c r="G11" s="42" t="s">
        <v>2314</v>
      </c>
      <c r="H11" s="42"/>
    </row>
    <row r="12" customFormat="false" ht="45.75" hidden="false" customHeight="true" outlineLevel="0" collapsed="false">
      <c r="A12" s="60" t="s">
        <v>2340</v>
      </c>
      <c r="B12" s="42" t="s">
        <v>97</v>
      </c>
      <c r="C12" s="42" t="s">
        <v>2402</v>
      </c>
      <c r="D12" s="42" t="n">
        <f aca="false">Bilancio_Alfa_2024!D13-Bilancio_Alfa_2024!B43</f>
        <v>-478210</v>
      </c>
      <c r="E12" s="42" t="s">
        <v>2403</v>
      </c>
      <c r="F12" s="42" t="s">
        <v>2391</v>
      </c>
      <c r="G12" s="42" t="s">
        <v>2314</v>
      </c>
      <c r="H12" s="42"/>
    </row>
    <row r="13" customFormat="false" ht="45.75" hidden="false" customHeight="true" outlineLevel="0" collapsed="false">
      <c r="A13" s="60" t="s">
        <v>2345</v>
      </c>
      <c r="B13" s="42" t="s">
        <v>97</v>
      </c>
      <c r="C13" s="42" t="s">
        <v>2404</v>
      </c>
      <c r="D13" s="42" t="s">
        <v>2405</v>
      </c>
      <c r="E13" s="42" t="s">
        <v>2406</v>
      </c>
      <c r="F13" s="42" t="s">
        <v>2407</v>
      </c>
      <c r="G13" s="42" t="s">
        <v>2314</v>
      </c>
      <c r="H13" s="42"/>
    </row>
    <row r="14" customFormat="false" ht="45.75" hidden="false" customHeight="true" outlineLevel="0" collapsed="false">
      <c r="A14" s="60" t="s">
        <v>2350</v>
      </c>
      <c r="B14" s="42" t="s">
        <v>97</v>
      </c>
      <c r="C14" s="42" t="s">
        <v>2408</v>
      </c>
      <c r="D14" s="42" t="s">
        <v>2409</v>
      </c>
      <c r="E14" s="42" t="s">
        <v>2410</v>
      </c>
      <c r="F14" s="42" t="s">
        <v>2407</v>
      </c>
      <c r="G14" s="42" t="s">
        <v>2314</v>
      </c>
      <c r="H14" s="42"/>
    </row>
    <row r="15" customFormat="false" ht="45.75" hidden="false" customHeight="true" outlineLevel="0" collapsed="false">
      <c r="A15" s="60" t="s">
        <v>2355</v>
      </c>
      <c r="B15" s="42" t="s">
        <v>97</v>
      </c>
      <c r="C15" s="42" t="s">
        <v>2411</v>
      </c>
      <c r="D15" s="42" t="s">
        <v>2412</v>
      </c>
      <c r="E15" s="42" t="s">
        <v>2413</v>
      </c>
      <c r="F15" s="42" t="s">
        <v>2407</v>
      </c>
      <c r="G15" s="42" t="s">
        <v>2314</v>
      </c>
      <c r="H15" s="42"/>
    </row>
    <row r="16" customFormat="false" ht="45.75" hidden="false" customHeight="true" outlineLevel="0" collapsed="false">
      <c r="A16" s="60" t="s">
        <v>2361</v>
      </c>
      <c r="B16" s="42" t="s">
        <v>97</v>
      </c>
      <c r="C16" s="42" t="s">
        <v>2414</v>
      </c>
      <c r="D16" s="42" t="s">
        <v>2415</v>
      </c>
      <c r="E16" s="42" t="s">
        <v>2416</v>
      </c>
      <c r="F16" s="42" t="s">
        <v>2387</v>
      </c>
      <c r="G16" s="42" t="s">
        <v>2314</v>
      </c>
      <c r="H16" s="42"/>
    </row>
    <row r="17" customFormat="false" ht="45.75" hidden="false" customHeight="true" outlineLevel="0" collapsed="false">
      <c r="A17" s="60" t="s">
        <v>2366</v>
      </c>
      <c r="B17" s="42" t="s">
        <v>97</v>
      </c>
      <c r="C17" s="42" t="s">
        <v>2417</v>
      </c>
      <c r="D17" s="42" t="n">
        <f aca="false">Bilancio_Alfa_2024!B13/Bilancio_Alfa_2024!C13-1</f>
        <v>0.146404527270953</v>
      </c>
      <c r="E17" s="42" t="s">
        <v>2418</v>
      </c>
      <c r="F17" s="42" t="s">
        <v>2391</v>
      </c>
      <c r="G17" s="42" t="s">
        <v>2314</v>
      </c>
      <c r="H17" s="42"/>
    </row>
    <row r="18" customFormat="false" ht="45.75" hidden="false" customHeight="true" outlineLevel="0" collapsed="false">
      <c r="A18" s="60" t="s">
        <v>2371</v>
      </c>
      <c r="B18" s="42" t="s">
        <v>97</v>
      </c>
      <c r="C18" s="42" t="s">
        <v>2419</v>
      </c>
      <c r="D18" s="51" t="n">
        <f aca="false">Bilancio_Alfa_2024!D10</f>
        <v>272640</v>
      </c>
      <c r="E18" s="42" t="s">
        <v>2420</v>
      </c>
      <c r="F18" s="42" t="s">
        <v>2391</v>
      </c>
      <c r="G18" s="42" t="s">
        <v>2314</v>
      </c>
      <c r="H18" s="42"/>
    </row>
    <row r="19" customFormat="false" ht="45.75" hidden="false" customHeight="true" outlineLevel="0" collapsed="false">
      <c r="A19" s="60" t="s">
        <v>2375</v>
      </c>
      <c r="B19" s="42" t="s">
        <v>97</v>
      </c>
      <c r="C19" s="42" t="s">
        <v>2421</v>
      </c>
      <c r="D19" s="42" t="n">
        <f aca="false">Bilancio_Alfa_2024!B20/Bilancio_Alfa_2024!C20-1</f>
        <v>0.0512500902187292</v>
      </c>
      <c r="E19" s="42" t="s">
        <v>2422</v>
      </c>
      <c r="F19" s="42" t="s">
        <v>2391</v>
      </c>
      <c r="G19" s="42" t="s">
        <v>2314</v>
      </c>
      <c r="H19" s="42"/>
    </row>
    <row r="20" customFormat="false" ht="45.75" hidden="false" customHeight="true" outlineLevel="0" collapsed="false">
      <c r="A20" s="60" t="s">
        <v>2379</v>
      </c>
      <c r="B20" s="42" t="s">
        <v>97</v>
      </c>
      <c r="C20" s="42" t="s">
        <v>2423</v>
      </c>
      <c r="D20" s="42" t="n">
        <f aca="false">Bilancio_Alfa_2024!B15-Bilancio_Alfa_2024!B23</f>
        <v>0</v>
      </c>
      <c r="E20" s="42" t="s">
        <v>2424</v>
      </c>
      <c r="F20" s="42" t="s">
        <v>2391</v>
      </c>
      <c r="G20" s="42" t="s">
        <v>2314</v>
      </c>
      <c r="H20" s="42"/>
    </row>
    <row r="21" customFormat="false" ht="45.75" hidden="false" customHeight="true" outlineLevel="0" collapsed="false">
      <c r="A21" s="60" t="s">
        <v>2092</v>
      </c>
      <c r="B21" s="42" t="s">
        <v>83</v>
      </c>
      <c r="C21" s="42" t="s">
        <v>2425</v>
      </c>
      <c r="D21" s="42" t="s">
        <v>2426</v>
      </c>
      <c r="E21" s="42" t="s">
        <v>2427</v>
      </c>
      <c r="F21" s="42" t="s">
        <v>2407</v>
      </c>
      <c r="G21" s="42" t="s">
        <v>2428</v>
      </c>
      <c r="H21" s="42"/>
    </row>
    <row r="22" customFormat="false" ht="45.75" hidden="false" customHeight="true" outlineLevel="0" collapsed="false">
      <c r="A22" s="60" t="s">
        <v>2097</v>
      </c>
      <c r="B22" s="42" t="s">
        <v>83</v>
      </c>
      <c r="C22" s="42" t="s">
        <v>2101</v>
      </c>
      <c r="D22" s="42" t="n">
        <f aca="false">180000/9000</f>
        <v>20</v>
      </c>
      <c r="E22" s="42" t="s">
        <v>2429</v>
      </c>
      <c r="F22" s="42" t="s">
        <v>2391</v>
      </c>
      <c r="G22" s="42" t="s">
        <v>2430</v>
      </c>
      <c r="H22" s="42"/>
    </row>
    <row r="23" customFormat="false" ht="45.75" hidden="false" customHeight="true" outlineLevel="0" collapsed="false">
      <c r="A23" s="60" t="s">
        <v>2102</v>
      </c>
      <c r="B23" s="42" t="s">
        <v>83</v>
      </c>
      <c r="C23" s="42" t="s">
        <v>2105</v>
      </c>
      <c r="D23" s="42" t="n">
        <f aca="false">250000-244000</f>
        <v>6000</v>
      </c>
      <c r="E23" s="42" t="s">
        <v>2431</v>
      </c>
      <c r="F23" s="42" t="s">
        <v>2391</v>
      </c>
      <c r="G23" s="42" t="s">
        <v>2430</v>
      </c>
      <c r="H23" s="42"/>
    </row>
    <row r="24" customFormat="false" ht="45.75" hidden="false" customHeight="true" outlineLevel="0" collapsed="false">
      <c r="A24" s="60" t="s">
        <v>2106</v>
      </c>
      <c r="B24" s="42" t="s">
        <v>83</v>
      </c>
      <c r="C24" s="42" t="s">
        <v>2432</v>
      </c>
      <c r="D24" s="42" t="n">
        <f aca="false">(10000-8000)/10000</f>
        <v>0.2</v>
      </c>
      <c r="E24" s="42" t="s">
        <v>2433</v>
      </c>
      <c r="F24" s="42" t="s">
        <v>2391</v>
      </c>
      <c r="G24" s="42" t="s">
        <v>2430</v>
      </c>
      <c r="H24" s="42"/>
    </row>
    <row r="25" customFormat="false" ht="45.75" hidden="false" customHeight="true" outlineLevel="0" collapsed="false">
      <c r="A25" s="60" t="s">
        <v>2110</v>
      </c>
      <c r="B25" s="42" t="s">
        <v>83</v>
      </c>
      <c r="C25" s="42" t="s">
        <v>2434</v>
      </c>
      <c r="D25" s="42" t="n">
        <f aca="false">100000*70%</f>
        <v>70000</v>
      </c>
      <c r="E25" s="42" t="s">
        <v>2435</v>
      </c>
      <c r="F25" s="42" t="s">
        <v>2391</v>
      </c>
      <c r="G25" s="42" t="s">
        <v>2430</v>
      </c>
      <c r="H25" s="42"/>
    </row>
    <row r="26" customFormat="false" ht="45.75" hidden="false" customHeight="true" outlineLevel="0" collapsed="false">
      <c r="A26" s="60" t="s">
        <v>2115</v>
      </c>
      <c r="B26" s="42" t="s">
        <v>83</v>
      </c>
      <c r="C26" s="42" t="s">
        <v>1108</v>
      </c>
      <c r="D26" s="42" t="s">
        <v>2436</v>
      </c>
      <c r="E26" s="42" t="s">
        <v>2437</v>
      </c>
      <c r="F26" s="42" t="s">
        <v>2407</v>
      </c>
      <c r="G26" s="42" t="s">
        <v>2430</v>
      </c>
      <c r="H26" s="42"/>
    </row>
    <row r="27" customFormat="false" ht="45.75" hidden="false" customHeight="true" outlineLevel="0" collapsed="false">
      <c r="A27" s="60" t="s">
        <v>1994</v>
      </c>
      <c r="B27" s="42" t="s">
        <v>80</v>
      </c>
      <c r="C27" s="42" t="s">
        <v>2438</v>
      </c>
      <c r="D27" s="42" t="s">
        <v>2439</v>
      </c>
      <c r="E27" s="42" t="s">
        <v>2440</v>
      </c>
      <c r="F27" s="42" t="s">
        <v>2407</v>
      </c>
      <c r="G27" s="42" t="s">
        <v>2441</v>
      </c>
      <c r="H27" s="42" t="s">
        <v>2442</v>
      </c>
    </row>
    <row r="28" customFormat="false" ht="45.75" hidden="false" customHeight="true" outlineLevel="0" collapsed="false">
      <c r="A28" s="60" t="s">
        <v>1999</v>
      </c>
      <c r="B28" s="42" t="s">
        <v>80</v>
      </c>
      <c r="C28" s="42" t="s">
        <v>2443</v>
      </c>
      <c r="D28" s="42" t="s">
        <v>2444</v>
      </c>
      <c r="E28" s="42" t="s">
        <v>2445</v>
      </c>
      <c r="F28" s="42" t="s">
        <v>2407</v>
      </c>
      <c r="G28" s="42" t="s">
        <v>2446</v>
      </c>
      <c r="H28" s="42" t="s">
        <v>2442</v>
      </c>
    </row>
    <row r="29" customFormat="false" ht="45.75" hidden="false" customHeight="true" outlineLevel="0" collapsed="false">
      <c r="A29" s="60" t="s">
        <v>2003</v>
      </c>
      <c r="B29" s="42" t="s">
        <v>80</v>
      </c>
      <c r="C29" s="42" t="s">
        <v>2438</v>
      </c>
      <c r="D29" s="42" t="s">
        <v>2447</v>
      </c>
      <c r="E29" s="42" t="s">
        <v>2448</v>
      </c>
      <c r="F29" s="42" t="s">
        <v>2407</v>
      </c>
      <c r="G29" s="42" t="s">
        <v>2449</v>
      </c>
      <c r="H29" s="42" t="s">
        <v>2442</v>
      </c>
    </row>
    <row r="30" customFormat="false" ht="45.75" hidden="false" customHeight="true" outlineLevel="0" collapsed="false">
      <c r="A30" s="60" t="s">
        <v>2007</v>
      </c>
      <c r="B30" s="42" t="s">
        <v>80</v>
      </c>
      <c r="C30" s="42" t="s">
        <v>2443</v>
      </c>
      <c r="D30" s="42" t="s">
        <v>2450</v>
      </c>
      <c r="E30" s="42" t="s">
        <v>2451</v>
      </c>
      <c r="F30" s="42" t="s">
        <v>2407</v>
      </c>
      <c r="G30" s="42" t="s">
        <v>2446</v>
      </c>
      <c r="H30" s="42" t="s">
        <v>2442</v>
      </c>
    </row>
    <row r="31" customFormat="false" ht="45.75" hidden="false" customHeight="true" outlineLevel="0" collapsed="false">
      <c r="A31" s="60" t="s">
        <v>2011</v>
      </c>
      <c r="B31" s="42" t="s">
        <v>80</v>
      </c>
      <c r="C31" s="42" t="s">
        <v>2438</v>
      </c>
      <c r="D31" s="42" t="s">
        <v>2452</v>
      </c>
      <c r="E31" s="42" t="s">
        <v>2453</v>
      </c>
      <c r="F31" s="42" t="s">
        <v>2407</v>
      </c>
      <c r="G31" s="42" t="s">
        <v>2441</v>
      </c>
      <c r="H31" s="42" t="s">
        <v>2442</v>
      </c>
    </row>
    <row r="32" customFormat="false" ht="45.75" hidden="false" customHeight="true" outlineLevel="0" collapsed="false">
      <c r="A32" s="60" t="s">
        <v>2015</v>
      </c>
      <c r="B32" s="42" t="s">
        <v>80</v>
      </c>
      <c r="C32" s="42" t="s">
        <v>2443</v>
      </c>
      <c r="D32" s="42" t="s">
        <v>2017</v>
      </c>
      <c r="E32" s="42" t="s">
        <v>2454</v>
      </c>
      <c r="F32" s="42" t="s">
        <v>2407</v>
      </c>
      <c r="G32" s="42" t="s">
        <v>2455</v>
      </c>
      <c r="H32" s="42" t="s">
        <v>2442</v>
      </c>
    </row>
    <row r="33" customFormat="false" ht="45.75" hidden="false" customHeight="true" outlineLevel="0" collapsed="false">
      <c r="A33" s="60" t="s">
        <v>2020</v>
      </c>
      <c r="B33" s="42" t="s">
        <v>80</v>
      </c>
      <c r="C33" s="42" t="s">
        <v>2438</v>
      </c>
      <c r="D33" s="42" t="s">
        <v>2456</v>
      </c>
      <c r="E33" s="42" t="s">
        <v>2457</v>
      </c>
      <c r="F33" s="42" t="s">
        <v>2407</v>
      </c>
      <c r="G33" s="42" t="s">
        <v>1301</v>
      </c>
      <c r="H33" s="42" t="s">
        <v>2442</v>
      </c>
    </row>
    <row r="34" customFormat="false" ht="45.75" hidden="false" customHeight="true" outlineLevel="0" collapsed="false">
      <c r="A34" s="60" t="s">
        <v>2024</v>
      </c>
      <c r="B34" s="42" t="s">
        <v>80</v>
      </c>
      <c r="C34" s="42" t="s">
        <v>2458</v>
      </c>
      <c r="D34" s="42" t="s">
        <v>2459</v>
      </c>
      <c r="E34" s="42" t="s">
        <v>2460</v>
      </c>
      <c r="F34" s="42" t="s">
        <v>2407</v>
      </c>
      <c r="G34" s="42" t="s">
        <v>2461</v>
      </c>
      <c r="H34" s="42" t="s">
        <v>2442</v>
      </c>
    </row>
    <row r="35" customFormat="false" ht="45.75" hidden="false" customHeight="true" outlineLevel="0" collapsed="false">
      <c r="A35" s="60" t="s">
        <v>2028</v>
      </c>
      <c r="B35" s="42" t="s">
        <v>80</v>
      </c>
      <c r="C35" s="42" t="s">
        <v>2462</v>
      </c>
      <c r="D35" s="42" t="s">
        <v>2030</v>
      </c>
      <c r="E35" s="42" t="s">
        <v>2463</v>
      </c>
      <c r="F35" s="42" t="s">
        <v>2407</v>
      </c>
      <c r="G35" s="42" t="s">
        <v>2446</v>
      </c>
      <c r="H35" s="42" t="s">
        <v>2442</v>
      </c>
    </row>
    <row r="36" customFormat="false" ht="45.75" hidden="false" customHeight="true" outlineLevel="0" collapsed="false">
      <c r="A36" s="60" t="s">
        <v>2032</v>
      </c>
      <c r="B36" s="42" t="s">
        <v>80</v>
      </c>
      <c r="C36" s="42" t="s">
        <v>2443</v>
      </c>
      <c r="D36" s="42" t="s">
        <v>2464</v>
      </c>
      <c r="E36" s="42" t="s">
        <v>2465</v>
      </c>
      <c r="F36" s="42" t="s">
        <v>2407</v>
      </c>
      <c r="G36" s="42" t="s">
        <v>2446</v>
      </c>
      <c r="H36" s="42" t="s">
        <v>2442</v>
      </c>
    </row>
    <row r="37" customFormat="false" ht="45.75" hidden="false" customHeight="true" outlineLevel="0" collapsed="false">
      <c r="A37" s="60" t="s">
        <v>2036</v>
      </c>
      <c r="B37" s="42" t="s">
        <v>80</v>
      </c>
      <c r="C37" s="42" t="s">
        <v>2466</v>
      </c>
      <c r="D37" s="42" t="s">
        <v>2040</v>
      </c>
      <c r="E37" s="42" t="s">
        <v>2467</v>
      </c>
      <c r="F37" s="42" t="s">
        <v>2407</v>
      </c>
      <c r="G37" s="42" t="s">
        <v>2468</v>
      </c>
      <c r="H37" s="42" t="s">
        <v>2442</v>
      </c>
    </row>
    <row r="38" customFormat="false" ht="45.75" hidden="false" customHeight="true" outlineLevel="0" collapsed="false">
      <c r="A38" s="60" t="s">
        <v>2041</v>
      </c>
      <c r="B38" s="42" t="s">
        <v>80</v>
      </c>
      <c r="C38" s="42" t="s">
        <v>2469</v>
      </c>
      <c r="D38" s="42" t="s">
        <v>2044</v>
      </c>
      <c r="E38" s="42" t="s">
        <v>2470</v>
      </c>
      <c r="F38" s="42" t="s">
        <v>2407</v>
      </c>
      <c r="G38" s="42" t="s">
        <v>2471</v>
      </c>
      <c r="H38" s="42" t="s">
        <v>2442</v>
      </c>
    </row>
    <row r="39" customFormat="false" ht="45.75" hidden="false" customHeight="true" outlineLevel="0" collapsed="false">
      <c r="A39" s="60" t="s">
        <v>2045</v>
      </c>
      <c r="B39" s="42" t="s">
        <v>80</v>
      </c>
      <c r="C39" s="42" t="s">
        <v>2443</v>
      </c>
      <c r="D39" s="42" t="s">
        <v>2048</v>
      </c>
      <c r="E39" s="42" t="s">
        <v>2472</v>
      </c>
      <c r="F39" s="42" t="s">
        <v>2407</v>
      </c>
      <c r="G39" s="42" t="s">
        <v>2473</v>
      </c>
      <c r="H39" s="42" t="s">
        <v>2442</v>
      </c>
    </row>
    <row r="40" customFormat="false" ht="45.75" hidden="false" customHeight="true" outlineLevel="0" collapsed="false">
      <c r="A40" s="60" t="s">
        <v>2049</v>
      </c>
      <c r="B40" s="42" t="s">
        <v>80</v>
      </c>
      <c r="C40" s="42" t="s">
        <v>2458</v>
      </c>
      <c r="D40" s="42" t="s">
        <v>2175</v>
      </c>
      <c r="E40" s="42" t="s">
        <v>2474</v>
      </c>
      <c r="F40" s="42" t="s">
        <v>2407</v>
      </c>
      <c r="G40" s="42" t="s">
        <v>1301</v>
      </c>
      <c r="H40" s="42" t="s">
        <v>2442</v>
      </c>
    </row>
    <row r="41" customFormat="false" ht="45.75" hidden="false" customHeight="true" outlineLevel="0" collapsed="false">
      <c r="A41" s="60" t="s">
        <v>2052</v>
      </c>
      <c r="B41" s="42" t="s">
        <v>80</v>
      </c>
      <c r="C41" s="42" t="s">
        <v>2466</v>
      </c>
      <c r="D41" s="42" t="s">
        <v>2475</v>
      </c>
      <c r="E41" s="42" t="s">
        <v>2476</v>
      </c>
      <c r="F41" s="42" t="s">
        <v>2407</v>
      </c>
      <c r="G41" s="42" t="s">
        <v>2477</v>
      </c>
      <c r="H41" s="42" t="s">
        <v>2442</v>
      </c>
    </row>
    <row r="42" customFormat="false" ht="45.75" hidden="false" customHeight="true" outlineLevel="0" collapsed="false">
      <c r="A42" s="60" t="s">
        <v>2056</v>
      </c>
      <c r="B42" s="42" t="s">
        <v>80</v>
      </c>
      <c r="C42" s="42" t="s">
        <v>2469</v>
      </c>
      <c r="D42" s="42" t="s">
        <v>2478</v>
      </c>
      <c r="E42" s="42" t="s">
        <v>2479</v>
      </c>
      <c r="F42" s="42" t="s">
        <v>2407</v>
      </c>
      <c r="G42" s="42" t="s">
        <v>2480</v>
      </c>
      <c r="H42" s="42" t="s">
        <v>2442</v>
      </c>
    </row>
    <row r="43" customFormat="false" ht="45.75" hidden="false" customHeight="true" outlineLevel="0" collapsed="false">
      <c r="A43" s="60" t="s">
        <v>2060</v>
      </c>
      <c r="B43" s="42" t="s">
        <v>80</v>
      </c>
      <c r="C43" s="42" t="s">
        <v>2458</v>
      </c>
      <c r="D43" s="42" t="s">
        <v>2481</v>
      </c>
      <c r="E43" s="42" t="s">
        <v>2482</v>
      </c>
      <c r="F43" s="42" t="s">
        <v>2407</v>
      </c>
      <c r="G43" s="42" t="s">
        <v>2461</v>
      </c>
      <c r="H43" s="42" t="s">
        <v>2442</v>
      </c>
    </row>
    <row r="44" customFormat="false" ht="45.75" hidden="false" customHeight="true" outlineLevel="0" collapsed="false">
      <c r="A44" s="60" t="s">
        <v>2064</v>
      </c>
      <c r="B44" s="42" t="s">
        <v>80</v>
      </c>
      <c r="C44" s="42" t="s">
        <v>2443</v>
      </c>
      <c r="D44" s="42" t="s">
        <v>2483</v>
      </c>
      <c r="E44" s="42" t="s">
        <v>2484</v>
      </c>
      <c r="F44" s="42" t="s">
        <v>2407</v>
      </c>
      <c r="G44" s="42" t="s">
        <v>2446</v>
      </c>
      <c r="H44" s="42" t="s">
        <v>2442</v>
      </c>
    </row>
    <row r="45" customFormat="false" ht="45.75" hidden="false" customHeight="true" outlineLevel="0" collapsed="false">
      <c r="A45" s="60" t="s">
        <v>2223</v>
      </c>
      <c r="B45" s="42" t="s">
        <v>95</v>
      </c>
      <c r="C45" s="42" t="s">
        <v>2485</v>
      </c>
      <c r="D45" s="42" t="s">
        <v>2486</v>
      </c>
      <c r="E45" s="42" t="s">
        <v>2487</v>
      </c>
      <c r="F45" s="42" t="s">
        <v>2407</v>
      </c>
      <c r="G45" s="42" t="s">
        <v>2488</v>
      </c>
      <c r="H45" s="42"/>
    </row>
    <row r="46" customFormat="false" ht="45.75" hidden="false" customHeight="true" outlineLevel="0" collapsed="false">
      <c r="A46" s="60" t="s">
        <v>2231</v>
      </c>
      <c r="B46" s="42" t="s">
        <v>95</v>
      </c>
      <c r="C46" s="42" t="s">
        <v>2489</v>
      </c>
      <c r="D46" s="42" t="s">
        <v>2490</v>
      </c>
      <c r="E46" s="42" t="s">
        <v>2491</v>
      </c>
      <c r="F46" s="42" t="s">
        <v>2407</v>
      </c>
      <c r="G46" s="42" t="s">
        <v>2492</v>
      </c>
      <c r="H46" s="42"/>
    </row>
    <row r="47" customFormat="false" ht="45.75" hidden="false" customHeight="true" outlineLevel="0" collapsed="false">
      <c r="A47" s="60" t="s">
        <v>2239</v>
      </c>
      <c r="B47" s="42" t="s">
        <v>95</v>
      </c>
      <c r="C47" s="42" t="s">
        <v>2493</v>
      </c>
      <c r="D47" s="42" t="s">
        <v>2494</v>
      </c>
      <c r="E47" s="42" t="s">
        <v>2495</v>
      </c>
      <c r="F47" s="42" t="s">
        <v>2407</v>
      </c>
      <c r="G47" s="42" t="s">
        <v>2496</v>
      </c>
      <c r="H47" s="42"/>
    </row>
    <row r="48" customFormat="false" ht="45.75" hidden="false" customHeight="true" outlineLevel="0" collapsed="false">
      <c r="A48" s="60" t="s">
        <v>2247</v>
      </c>
      <c r="B48" s="42" t="s">
        <v>95</v>
      </c>
      <c r="C48" s="42" t="s">
        <v>2497</v>
      </c>
      <c r="D48" s="42" t="s">
        <v>2498</v>
      </c>
      <c r="E48" s="42" t="s">
        <v>2499</v>
      </c>
      <c r="F48" s="42" t="s">
        <v>2407</v>
      </c>
      <c r="G48" s="42" t="s">
        <v>2500</v>
      </c>
      <c r="H48" s="42"/>
    </row>
    <row r="49" customFormat="false" ht="45.75" hidden="false" customHeight="true" outlineLevel="0" collapsed="false">
      <c r="A49" s="60" t="s">
        <v>2255</v>
      </c>
      <c r="B49" s="42" t="s">
        <v>95</v>
      </c>
      <c r="C49" s="42" t="s">
        <v>2501</v>
      </c>
      <c r="D49" s="42" t="s">
        <v>2502</v>
      </c>
      <c r="E49" s="42" t="s">
        <v>2503</v>
      </c>
      <c r="F49" s="42" t="s">
        <v>2407</v>
      </c>
      <c r="G49" s="42" t="s">
        <v>2504</v>
      </c>
      <c r="H49" s="42"/>
    </row>
    <row r="50" customFormat="false" ht="45.75" hidden="false" customHeight="true" outlineLevel="0" collapsed="false">
      <c r="A50" s="60" t="s">
        <v>2263</v>
      </c>
      <c r="B50" s="42" t="s">
        <v>95</v>
      </c>
      <c r="C50" s="42" t="s">
        <v>2505</v>
      </c>
      <c r="D50" s="42" t="s">
        <v>2506</v>
      </c>
      <c r="E50" s="42" t="s">
        <v>2507</v>
      </c>
      <c r="F50" s="42" t="s">
        <v>2407</v>
      </c>
      <c r="G50" s="42" t="s">
        <v>2508</v>
      </c>
      <c r="H50" s="42"/>
    </row>
    <row r="51" customFormat="false" ht="45.75" hidden="false" customHeight="true" outlineLevel="0" collapsed="false">
      <c r="A51" s="60" t="s">
        <v>2271</v>
      </c>
      <c r="B51" s="42" t="s">
        <v>95</v>
      </c>
      <c r="C51" s="42" t="s">
        <v>2509</v>
      </c>
      <c r="D51" s="42" t="s">
        <v>2510</v>
      </c>
      <c r="E51" s="42" t="s">
        <v>2511</v>
      </c>
      <c r="F51" s="42" t="s">
        <v>2407</v>
      </c>
      <c r="G51" s="42" t="s">
        <v>2512</v>
      </c>
      <c r="H51" s="42"/>
    </row>
    <row r="52" customFormat="false" ht="45.75" hidden="false" customHeight="true" outlineLevel="0" collapsed="false">
      <c r="A52" s="60" t="s">
        <v>2279</v>
      </c>
      <c r="B52" s="42" t="s">
        <v>95</v>
      </c>
      <c r="C52" s="42" t="s">
        <v>2513</v>
      </c>
      <c r="D52" s="42" t="s">
        <v>2514</v>
      </c>
      <c r="E52" s="42" t="s">
        <v>2515</v>
      </c>
      <c r="F52" s="42" t="s">
        <v>2407</v>
      </c>
      <c r="G52" s="42" t="s">
        <v>2516</v>
      </c>
      <c r="H52" s="42"/>
    </row>
    <row r="53" customFormat="false" ht="45.75" hidden="false" customHeight="true" outlineLevel="0" collapsed="false">
      <c r="A53" s="60" t="s">
        <v>2287</v>
      </c>
      <c r="B53" s="42" t="s">
        <v>95</v>
      </c>
      <c r="C53" s="42" t="s">
        <v>2517</v>
      </c>
      <c r="D53" s="42" t="s">
        <v>2518</v>
      </c>
      <c r="E53" s="42" t="s">
        <v>2519</v>
      </c>
      <c r="F53" s="42" t="s">
        <v>2407</v>
      </c>
      <c r="G53" s="42" t="s">
        <v>2520</v>
      </c>
      <c r="H53" s="42"/>
    </row>
    <row r="54" customFormat="false" ht="45.75" hidden="false" customHeight="true" outlineLevel="0" collapsed="false">
      <c r="A54" s="60" t="s">
        <v>2295</v>
      </c>
      <c r="B54" s="42" t="s">
        <v>95</v>
      </c>
      <c r="C54" s="42" t="s">
        <v>2521</v>
      </c>
      <c r="D54" s="42" t="s">
        <v>2522</v>
      </c>
      <c r="E54" s="42" t="s">
        <v>2523</v>
      </c>
      <c r="F54" s="42" t="s">
        <v>2407</v>
      </c>
      <c r="G54" s="42" t="s">
        <v>2524</v>
      </c>
      <c r="H54" s="42"/>
    </row>
  </sheetData>
  <mergeCells count="2">
    <mergeCell ref="A1:H2"/>
    <mergeCell ref="A3:H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52"/>
    <col collapsed="false" customWidth="true" hidden="false" outlineLevel="0" max="4" min="4" style="1" width="46"/>
    <col collapsed="false" customWidth="true" hidden="false" outlineLevel="0" max="5" min="5" style="1" width="40"/>
    <col collapsed="false" customWidth="true" hidden="false" outlineLevel="0" max="6" min="6" style="1" width="46"/>
  </cols>
  <sheetData>
    <row r="1" customFormat="false" ht="30" hidden="false" customHeight="true" outlineLevel="0" collapsed="false">
      <c r="A1" s="61" t="s">
        <v>104</v>
      </c>
      <c r="B1" s="61"/>
      <c r="C1" s="61"/>
      <c r="D1" s="61"/>
      <c r="E1" s="61"/>
      <c r="F1" s="61"/>
    </row>
    <row r="2" customFormat="false" ht="15" hidden="false" customHeight="true" outlineLevel="0" collapsed="false">
      <c r="A2" s="11" t="s">
        <v>2525</v>
      </c>
    </row>
    <row r="4" customFormat="false" ht="15" hidden="false" customHeight="true" outlineLevel="0" collapsed="false">
      <c r="A4" s="6" t="s">
        <v>2305</v>
      </c>
      <c r="B4" s="6" t="s">
        <v>2526</v>
      </c>
      <c r="C4" s="6" t="s">
        <v>2386</v>
      </c>
      <c r="D4" s="6" t="s">
        <v>2527</v>
      </c>
      <c r="E4" s="6" t="s">
        <v>2528</v>
      </c>
      <c r="F4" s="6" t="s">
        <v>2529</v>
      </c>
    </row>
    <row r="5" customFormat="false" ht="23.25" hidden="false" customHeight="true" outlineLevel="0" collapsed="false">
      <c r="A5" s="14" t="s">
        <v>17</v>
      </c>
      <c r="B5" s="62" t="s">
        <v>2530</v>
      </c>
      <c r="C5" s="14" t="s">
        <v>2531</v>
      </c>
      <c r="D5" s="14" t="s">
        <v>2532</v>
      </c>
      <c r="E5" s="14" t="s">
        <v>2533</v>
      </c>
      <c r="F5" s="14" t="s">
        <v>2534</v>
      </c>
    </row>
    <row r="6" customFormat="false" ht="23.25" hidden="false" customHeight="true" outlineLevel="0" collapsed="false">
      <c r="A6" s="14" t="s">
        <v>17</v>
      </c>
      <c r="B6" s="62" t="s">
        <v>2535</v>
      </c>
      <c r="C6" s="14" t="s">
        <v>2536</v>
      </c>
      <c r="D6" s="14" t="s">
        <v>2537</v>
      </c>
      <c r="E6" s="14" t="s">
        <v>2538</v>
      </c>
      <c r="F6" s="14" t="s">
        <v>2539</v>
      </c>
    </row>
    <row r="7" customFormat="false" ht="23.25" hidden="false" customHeight="true" outlineLevel="0" collapsed="false">
      <c r="A7" s="14" t="s">
        <v>17</v>
      </c>
      <c r="B7" s="62" t="s">
        <v>2540</v>
      </c>
      <c r="C7" s="14" t="s">
        <v>2541</v>
      </c>
      <c r="D7" s="14" t="s">
        <v>2542</v>
      </c>
      <c r="E7" s="14" t="s">
        <v>2543</v>
      </c>
      <c r="F7" s="14" t="s">
        <v>2544</v>
      </c>
    </row>
    <row r="8" customFormat="false" ht="23.25" hidden="false" customHeight="true" outlineLevel="0" collapsed="false">
      <c r="A8" s="14" t="s">
        <v>23</v>
      </c>
      <c r="B8" s="62" t="s">
        <v>231</v>
      </c>
      <c r="C8" s="14" t="s">
        <v>2545</v>
      </c>
      <c r="D8" s="14" t="s">
        <v>2546</v>
      </c>
      <c r="E8" s="14" t="s">
        <v>2547</v>
      </c>
      <c r="F8" s="14" t="s">
        <v>2548</v>
      </c>
    </row>
    <row r="9" customFormat="false" ht="23.25" hidden="false" customHeight="true" outlineLevel="0" collapsed="false">
      <c r="A9" s="14" t="s">
        <v>26</v>
      </c>
      <c r="B9" s="62" t="s">
        <v>2549</v>
      </c>
      <c r="C9" s="14" t="s">
        <v>2550</v>
      </c>
      <c r="D9" s="14" t="s">
        <v>2551</v>
      </c>
      <c r="E9" s="14" t="s">
        <v>2552</v>
      </c>
      <c r="F9" s="14" t="s">
        <v>2553</v>
      </c>
    </row>
    <row r="10" customFormat="false" ht="23.25" hidden="false" customHeight="true" outlineLevel="0" collapsed="false">
      <c r="A10" s="14" t="s">
        <v>26</v>
      </c>
      <c r="B10" s="62" t="s">
        <v>2554</v>
      </c>
      <c r="C10" s="14" t="s">
        <v>2555</v>
      </c>
      <c r="D10" s="14" t="s">
        <v>2556</v>
      </c>
      <c r="E10" s="14" t="s">
        <v>2557</v>
      </c>
      <c r="F10" s="14" t="s">
        <v>2558</v>
      </c>
    </row>
    <row r="11" customFormat="false" ht="23.25" hidden="false" customHeight="true" outlineLevel="0" collapsed="false">
      <c r="A11" s="14" t="s">
        <v>26</v>
      </c>
      <c r="B11" s="62" t="s">
        <v>2031</v>
      </c>
      <c r="C11" s="14" t="s">
        <v>2559</v>
      </c>
      <c r="D11" s="14" t="s">
        <v>2560</v>
      </c>
      <c r="E11" s="14" t="s">
        <v>2561</v>
      </c>
      <c r="F11" s="14" t="s">
        <v>2562</v>
      </c>
    </row>
    <row r="12" customFormat="false" ht="23.25" hidden="false" customHeight="true" outlineLevel="0" collapsed="false">
      <c r="A12" s="14" t="s">
        <v>26</v>
      </c>
      <c r="B12" s="62" t="s">
        <v>289</v>
      </c>
      <c r="C12" s="14" t="s">
        <v>2563</v>
      </c>
      <c r="D12" s="14" t="s">
        <v>2564</v>
      </c>
      <c r="E12" s="14" t="s">
        <v>2565</v>
      </c>
      <c r="F12" s="14" t="s">
        <v>2566</v>
      </c>
    </row>
    <row r="13" customFormat="false" ht="23.25" hidden="false" customHeight="true" outlineLevel="0" collapsed="false">
      <c r="A13" s="14" t="s">
        <v>26</v>
      </c>
      <c r="B13" s="62" t="s">
        <v>2567</v>
      </c>
      <c r="C13" s="14" t="s">
        <v>2568</v>
      </c>
      <c r="D13" s="14" t="s">
        <v>2569</v>
      </c>
      <c r="E13" s="14" t="s">
        <v>2570</v>
      </c>
      <c r="F13" s="14" t="s">
        <v>2571</v>
      </c>
    </row>
    <row r="14" customFormat="false" ht="23.25" hidden="false" customHeight="true" outlineLevel="0" collapsed="false">
      <c r="A14" s="14" t="s">
        <v>26</v>
      </c>
      <c r="B14" s="62" t="s">
        <v>2572</v>
      </c>
      <c r="C14" s="14" t="s">
        <v>2573</v>
      </c>
      <c r="D14" s="14" t="s">
        <v>2574</v>
      </c>
      <c r="E14" s="14" t="s">
        <v>2575</v>
      </c>
      <c r="F14" s="14" t="s">
        <v>2576</v>
      </c>
    </row>
    <row r="15" customFormat="false" ht="15" hidden="false" customHeight="true" outlineLevel="0" collapsed="false">
      <c r="A15" s="14" t="s">
        <v>26</v>
      </c>
      <c r="B15" s="62" t="s">
        <v>2577</v>
      </c>
      <c r="C15" s="14" t="s">
        <v>2578</v>
      </c>
      <c r="D15" s="14" t="s">
        <v>2579</v>
      </c>
      <c r="E15" s="14" t="s">
        <v>2580</v>
      </c>
      <c r="F15" s="14" t="s">
        <v>2581</v>
      </c>
    </row>
    <row r="16" customFormat="false" ht="15" hidden="false" customHeight="true" outlineLevel="0" collapsed="false">
      <c r="A16" s="14" t="s">
        <v>33</v>
      </c>
      <c r="B16" s="62" t="s">
        <v>412</v>
      </c>
      <c r="C16" s="14" t="s">
        <v>2582</v>
      </c>
      <c r="D16" s="14" t="s">
        <v>2583</v>
      </c>
      <c r="E16" s="14" t="s">
        <v>2584</v>
      </c>
      <c r="F16" s="14" t="s">
        <v>2585</v>
      </c>
    </row>
    <row r="17" customFormat="false" ht="15" hidden="false" customHeight="true" outlineLevel="0" collapsed="false">
      <c r="A17" s="14" t="s">
        <v>33</v>
      </c>
      <c r="B17" s="62" t="s">
        <v>452</v>
      </c>
      <c r="C17" s="14" t="s">
        <v>2586</v>
      </c>
      <c r="D17" s="14" t="s">
        <v>2587</v>
      </c>
      <c r="E17" s="14" t="s">
        <v>2588</v>
      </c>
      <c r="F17" s="14" t="s">
        <v>2589</v>
      </c>
    </row>
    <row r="18" customFormat="false" ht="15" hidden="false" customHeight="true" outlineLevel="0" collapsed="false">
      <c r="A18" s="14" t="s">
        <v>33</v>
      </c>
      <c r="B18" s="62" t="s">
        <v>484</v>
      </c>
      <c r="C18" s="14" t="s">
        <v>2590</v>
      </c>
      <c r="D18" s="14" t="s">
        <v>2591</v>
      </c>
      <c r="E18" s="14" t="s">
        <v>2592</v>
      </c>
      <c r="F18" s="14" t="s">
        <v>2593</v>
      </c>
    </row>
    <row r="19" customFormat="false" ht="15" hidden="false" customHeight="true" outlineLevel="0" collapsed="false">
      <c r="A19" s="14" t="s">
        <v>36</v>
      </c>
      <c r="B19" s="62" t="s">
        <v>2594</v>
      </c>
      <c r="C19" s="14" t="s">
        <v>2595</v>
      </c>
      <c r="D19" s="14" t="s">
        <v>2596</v>
      </c>
      <c r="E19" s="14" t="s">
        <v>2597</v>
      </c>
      <c r="F19" s="14" t="s">
        <v>2598</v>
      </c>
    </row>
    <row r="20" customFormat="false" ht="23.25" hidden="false" customHeight="true" outlineLevel="0" collapsed="false">
      <c r="A20" s="14" t="s">
        <v>36</v>
      </c>
      <c r="B20" s="62" t="s">
        <v>520</v>
      </c>
      <c r="C20" s="14" t="s">
        <v>2599</v>
      </c>
      <c r="D20" s="14" t="s">
        <v>2600</v>
      </c>
      <c r="E20" s="14" t="s">
        <v>2601</v>
      </c>
      <c r="F20" s="14" t="s">
        <v>2602</v>
      </c>
    </row>
    <row r="21" customFormat="false" ht="15" hidden="false" customHeight="true" outlineLevel="0" collapsed="false">
      <c r="A21" s="14" t="s">
        <v>39</v>
      </c>
      <c r="B21" s="62" t="s">
        <v>167</v>
      </c>
      <c r="C21" s="14" t="s">
        <v>2603</v>
      </c>
      <c r="D21" s="14" t="s">
        <v>2604</v>
      </c>
      <c r="E21" s="14" t="s">
        <v>2605</v>
      </c>
      <c r="F21" s="14" t="s">
        <v>2606</v>
      </c>
    </row>
    <row r="22" customFormat="false" ht="23.25" hidden="false" customHeight="true" outlineLevel="0" collapsed="false">
      <c r="A22" s="14" t="s">
        <v>39</v>
      </c>
      <c r="B22" s="62" t="s">
        <v>733</v>
      </c>
      <c r="C22" s="14" t="s">
        <v>2607</v>
      </c>
      <c r="D22" s="14" t="s">
        <v>2608</v>
      </c>
      <c r="E22" s="14" t="s">
        <v>2609</v>
      </c>
      <c r="F22" s="14" t="s">
        <v>2610</v>
      </c>
    </row>
    <row r="23" customFormat="false" ht="23.25" hidden="false" customHeight="true" outlineLevel="0" collapsed="false">
      <c r="A23" s="14" t="s">
        <v>39</v>
      </c>
      <c r="B23" s="62" t="s">
        <v>678</v>
      </c>
      <c r="C23" s="14" t="s">
        <v>2611</v>
      </c>
      <c r="D23" s="14" t="s">
        <v>2612</v>
      </c>
      <c r="E23" s="14" t="s">
        <v>2613</v>
      </c>
      <c r="F23" s="14" t="s">
        <v>2614</v>
      </c>
    </row>
    <row r="24" customFormat="false" ht="23.25" hidden="false" customHeight="true" outlineLevel="0" collapsed="false">
      <c r="A24" s="14" t="s">
        <v>39</v>
      </c>
      <c r="B24" s="62" t="s">
        <v>626</v>
      </c>
      <c r="C24" s="14" t="s">
        <v>2615</v>
      </c>
      <c r="D24" s="14" t="s">
        <v>2616</v>
      </c>
      <c r="E24" s="14" t="s">
        <v>2617</v>
      </c>
      <c r="F24" s="14" t="s">
        <v>2618</v>
      </c>
    </row>
    <row r="25" customFormat="false" ht="23.25" hidden="false" customHeight="true" outlineLevel="0" collapsed="false">
      <c r="A25" s="14" t="s">
        <v>39</v>
      </c>
      <c r="B25" s="62" t="s">
        <v>602</v>
      </c>
      <c r="C25" s="14" t="s">
        <v>2619</v>
      </c>
      <c r="D25" s="14" t="s">
        <v>2620</v>
      </c>
      <c r="E25" s="14" t="s">
        <v>2621</v>
      </c>
      <c r="F25" s="14" t="s">
        <v>2622</v>
      </c>
    </row>
    <row r="26" customFormat="false" ht="23.25" hidden="false" customHeight="true" outlineLevel="0" collapsed="false">
      <c r="A26" s="14" t="s">
        <v>42</v>
      </c>
      <c r="B26" s="62" t="s">
        <v>2623</v>
      </c>
      <c r="C26" s="14" t="s">
        <v>2624</v>
      </c>
      <c r="D26" s="14" t="s">
        <v>2625</v>
      </c>
      <c r="E26" s="14" t="s">
        <v>2626</v>
      </c>
      <c r="F26" s="14" t="s">
        <v>2627</v>
      </c>
    </row>
    <row r="27" customFormat="false" ht="23.25" hidden="false" customHeight="true" outlineLevel="0" collapsed="false">
      <c r="A27" s="14" t="s">
        <v>42</v>
      </c>
      <c r="B27" s="62" t="s">
        <v>2628</v>
      </c>
      <c r="C27" s="14" t="s">
        <v>2629</v>
      </c>
      <c r="D27" s="14" t="s">
        <v>2630</v>
      </c>
      <c r="E27" s="14" t="s">
        <v>2631</v>
      </c>
      <c r="F27" s="14" t="s">
        <v>2632</v>
      </c>
    </row>
    <row r="28" customFormat="false" ht="15" hidden="false" customHeight="true" outlineLevel="0" collapsed="false">
      <c r="A28" s="14" t="s">
        <v>42</v>
      </c>
      <c r="B28" s="62" t="s">
        <v>683</v>
      </c>
      <c r="C28" s="14" t="s">
        <v>2633</v>
      </c>
      <c r="D28" s="14" t="s">
        <v>2634</v>
      </c>
      <c r="E28" s="14" t="s">
        <v>2635</v>
      </c>
      <c r="F28" s="14" t="s">
        <v>2636</v>
      </c>
    </row>
    <row r="29" customFormat="false" ht="15" hidden="false" customHeight="true" outlineLevel="0" collapsed="false">
      <c r="A29" s="14" t="s">
        <v>42</v>
      </c>
      <c r="B29" s="62" t="s">
        <v>2637</v>
      </c>
      <c r="C29" s="14" t="s">
        <v>2638</v>
      </c>
      <c r="D29" s="14" t="s">
        <v>2639</v>
      </c>
      <c r="E29" s="14" t="s">
        <v>2640</v>
      </c>
      <c r="F29" s="14" t="s">
        <v>2641</v>
      </c>
    </row>
    <row r="30" customFormat="false" ht="15" hidden="false" customHeight="true" outlineLevel="0" collapsed="false">
      <c r="A30" s="14" t="s">
        <v>42</v>
      </c>
      <c r="B30" s="62" t="s">
        <v>688</v>
      </c>
      <c r="C30" s="14" t="s">
        <v>2642</v>
      </c>
      <c r="D30" s="14" t="s">
        <v>2643</v>
      </c>
      <c r="E30" s="14" t="s">
        <v>2644</v>
      </c>
      <c r="F30" s="14" t="s">
        <v>2645</v>
      </c>
    </row>
    <row r="31" customFormat="false" ht="23.25" hidden="false" customHeight="true" outlineLevel="0" collapsed="false">
      <c r="A31" s="14" t="s">
        <v>42</v>
      </c>
      <c r="B31" s="62" t="s">
        <v>692</v>
      </c>
      <c r="C31" s="14" t="s">
        <v>2646</v>
      </c>
      <c r="D31" s="14" t="s">
        <v>2647</v>
      </c>
      <c r="E31" s="14" t="s">
        <v>2648</v>
      </c>
      <c r="F31" s="14" t="s">
        <v>2649</v>
      </c>
    </row>
    <row r="32" customFormat="false" ht="15" hidden="false" customHeight="true" outlineLevel="0" collapsed="false">
      <c r="A32" s="14" t="s">
        <v>42</v>
      </c>
      <c r="B32" s="62" t="s">
        <v>2650</v>
      </c>
      <c r="C32" s="14" t="s">
        <v>2651</v>
      </c>
      <c r="D32" s="14" t="s">
        <v>2652</v>
      </c>
      <c r="E32" s="14" t="s">
        <v>2653</v>
      </c>
      <c r="F32" s="14" t="s">
        <v>2654</v>
      </c>
    </row>
    <row r="33" customFormat="false" ht="23.25" hidden="false" customHeight="true" outlineLevel="0" collapsed="false">
      <c r="A33" s="14" t="s">
        <v>42</v>
      </c>
      <c r="B33" s="62" t="s">
        <v>2655</v>
      </c>
      <c r="C33" s="14" t="s">
        <v>2656</v>
      </c>
      <c r="D33" s="14" t="s">
        <v>2657</v>
      </c>
      <c r="E33" s="14" t="s">
        <v>2658</v>
      </c>
      <c r="F33" s="14" t="s">
        <v>2659</v>
      </c>
    </row>
    <row r="34" customFormat="false" ht="15" hidden="false" customHeight="true" outlineLevel="0" collapsed="false">
      <c r="A34" s="14" t="s">
        <v>45</v>
      </c>
      <c r="B34" s="62" t="s">
        <v>2660</v>
      </c>
      <c r="C34" s="14" t="s">
        <v>2661</v>
      </c>
      <c r="D34" s="14" t="s">
        <v>2662</v>
      </c>
      <c r="E34" s="14" t="s">
        <v>2663</v>
      </c>
      <c r="F34" s="14" t="s">
        <v>2664</v>
      </c>
    </row>
    <row r="35" customFormat="false" ht="15" hidden="false" customHeight="true" outlineLevel="0" collapsed="false">
      <c r="A35" s="14" t="s">
        <v>45</v>
      </c>
      <c r="B35" s="62" t="s">
        <v>2665</v>
      </c>
      <c r="C35" s="14" t="s">
        <v>2666</v>
      </c>
      <c r="D35" s="14" t="s">
        <v>2667</v>
      </c>
      <c r="E35" s="14" t="s">
        <v>2668</v>
      </c>
      <c r="F35" s="14" t="s">
        <v>2669</v>
      </c>
    </row>
    <row r="36" customFormat="false" ht="15" hidden="false" customHeight="true" outlineLevel="0" collapsed="false">
      <c r="A36" s="14" t="s">
        <v>55</v>
      </c>
      <c r="B36" s="62" t="s">
        <v>2670</v>
      </c>
      <c r="C36" s="14" t="s">
        <v>2671</v>
      </c>
      <c r="D36" s="14" t="s">
        <v>2672</v>
      </c>
      <c r="E36" s="14" t="s">
        <v>2673</v>
      </c>
      <c r="F36" s="14" t="s">
        <v>2674</v>
      </c>
    </row>
    <row r="37" customFormat="false" ht="15" hidden="false" customHeight="true" outlineLevel="0" collapsed="false">
      <c r="A37" s="14" t="s">
        <v>55</v>
      </c>
      <c r="B37" s="62" t="s">
        <v>2675</v>
      </c>
      <c r="C37" s="14" t="s">
        <v>2676</v>
      </c>
      <c r="D37" s="14" t="s">
        <v>2677</v>
      </c>
      <c r="E37" s="14" t="s">
        <v>2678</v>
      </c>
      <c r="F37" s="14" t="s">
        <v>2679</v>
      </c>
    </row>
    <row r="38" customFormat="false" ht="15" hidden="false" customHeight="true" outlineLevel="0" collapsed="false">
      <c r="A38" s="14" t="s">
        <v>55</v>
      </c>
      <c r="B38" s="62" t="s">
        <v>2680</v>
      </c>
      <c r="C38" s="14" t="s">
        <v>2681</v>
      </c>
      <c r="D38" s="14" t="s">
        <v>2682</v>
      </c>
      <c r="E38" s="14" t="s">
        <v>2683</v>
      </c>
      <c r="F38" s="14" t="s">
        <v>2684</v>
      </c>
    </row>
    <row r="39" customFormat="false" ht="15" hidden="false" customHeight="true" outlineLevel="0" collapsed="false">
      <c r="A39" s="14" t="s">
        <v>55</v>
      </c>
      <c r="B39" s="62" t="s">
        <v>2685</v>
      </c>
      <c r="C39" s="14" t="s">
        <v>2686</v>
      </c>
      <c r="D39" s="14" t="s">
        <v>2687</v>
      </c>
      <c r="E39" s="14" t="s">
        <v>2688</v>
      </c>
      <c r="F39" s="14" t="s">
        <v>2689</v>
      </c>
    </row>
    <row r="40" customFormat="false" ht="15" hidden="false" customHeight="true" outlineLevel="0" collapsed="false">
      <c r="A40" s="14" t="s">
        <v>55</v>
      </c>
      <c r="B40" s="62" t="s">
        <v>2690</v>
      </c>
      <c r="C40" s="14" t="s">
        <v>2691</v>
      </c>
      <c r="D40" s="14" t="s">
        <v>2692</v>
      </c>
      <c r="E40" s="14" t="s">
        <v>2693</v>
      </c>
      <c r="F40" s="14" t="s">
        <v>2694</v>
      </c>
    </row>
    <row r="41" customFormat="false" ht="15" hidden="false" customHeight="true" outlineLevel="0" collapsed="false">
      <c r="A41" s="14" t="s">
        <v>55</v>
      </c>
      <c r="B41" s="62" t="s">
        <v>2695</v>
      </c>
      <c r="C41" s="14" t="s">
        <v>2696</v>
      </c>
      <c r="D41" s="14" t="s">
        <v>2697</v>
      </c>
      <c r="E41" s="14" t="s">
        <v>2698</v>
      </c>
      <c r="F41" s="14" t="s">
        <v>2699</v>
      </c>
    </row>
    <row r="42" customFormat="false" ht="23.25" hidden="false" customHeight="true" outlineLevel="0" collapsed="false">
      <c r="A42" s="14" t="s">
        <v>58</v>
      </c>
      <c r="B42" s="62" t="s">
        <v>2700</v>
      </c>
      <c r="C42" s="14" t="s">
        <v>2701</v>
      </c>
      <c r="D42" s="14" t="s">
        <v>2702</v>
      </c>
      <c r="E42" s="14" t="s">
        <v>2703</v>
      </c>
      <c r="F42" s="14" t="s">
        <v>2704</v>
      </c>
    </row>
    <row r="43" customFormat="false" ht="23.25" hidden="false" customHeight="true" outlineLevel="0" collapsed="false">
      <c r="A43" s="14" t="s">
        <v>58</v>
      </c>
      <c r="B43" s="62" t="s">
        <v>2705</v>
      </c>
      <c r="C43" s="14" t="s">
        <v>2706</v>
      </c>
      <c r="D43" s="14" t="s">
        <v>2707</v>
      </c>
      <c r="E43" s="14" t="s">
        <v>2703</v>
      </c>
      <c r="F43" s="14" t="s">
        <v>2708</v>
      </c>
    </row>
    <row r="44" customFormat="false" ht="15" hidden="false" customHeight="true" outlineLevel="0" collapsed="false">
      <c r="A44" s="14" t="s">
        <v>58</v>
      </c>
      <c r="B44" s="62" t="s">
        <v>2709</v>
      </c>
      <c r="C44" s="14" t="s">
        <v>2710</v>
      </c>
      <c r="D44" s="14" t="s">
        <v>2711</v>
      </c>
      <c r="E44" s="14" t="s">
        <v>2712</v>
      </c>
      <c r="F44" s="14" t="s">
        <v>2713</v>
      </c>
    </row>
    <row r="45" customFormat="false" ht="15" hidden="false" customHeight="true" outlineLevel="0" collapsed="false">
      <c r="A45" s="14" t="s">
        <v>58</v>
      </c>
      <c r="B45" s="62" t="s">
        <v>2714</v>
      </c>
      <c r="C45" s="14" t="s">
        <v>2715</v>
      </c>
      <c r="D45" s="14" t="s">
        <v>2716</v>
      </c>
      <c r="E45" s="14" t="s">
        <v>2717</v>
      </c>
      <c r="F45" s="14" t="s">
        <v>2718</v>
      </c>
    </row>
    <row r="46" customFormat="false" ht="23.25" hidden="false" customHeight="true" outlineLevel="0" collapsed="false">
      <c r="A46" s="14" t="s">
        <v>58</v>
      </c>
      <c r="B46" s="62" t="s">
        <v>2719</v>
      </c>
      <c r="C46" s="14" t="s">
        <v>2720</v>
      </c>
      <c r="D46" s="14" t="s">
        <v>2721</v>
      </c>
      <c r="E46" s="14" t="s">
        <v>2722</v>
      </c>
      <c r="F46" s="14" t="s">
        <v>2723</v>
      </c>
    </row>
    <row r="47" customFormat="false" ht="23.25" hidden="false" customHeight="true" outlineLevel="0" collapsed="false">
      <c r="A47" s="14" t="s">
        <v>58</v>
      </c>
      <c r="B47" s="62" t="s">
        <v>2724</v>
      </c>
      <c r="C47" s="14" t="s">
        <v>2725</v>
      </c>
      <c r="D47" s="14" t="s">
        <v>2726</v>
      </c>
      <c r="E47" s="14" t="s">
        <v>2727</v>
      </c>
      <c r="F47" s="14" t="s">
        <v>2728</v>
      </c>
    </row>
    <row r="48" customFormat="false" ht="23.25" hidden="false" customHeight="true" outlineLevel="0" collapsed="false">
      <c r="A48" s="14" t="s">
        <v>58</v>
      </c>
      <c r="B48" s="62" t="s">
        <v>2729</v>
      </c>
      <c r="C48" s="14" t="s">
        <v>2730</v>
      </c>
      <c r="D48" s="14" t="s">
        <v>2731</v>
      </c>
      <c r="E48" s="14" t="s">
        <v>2732</v>
      </c>
      <c r="F48" s="14" t="s">
        <v>2733</v>
      </c>
    </row>
    <row r="49" customFormat="false" ht="23.25" hidden="false" customHeight="true" outlineLevel="0" collapsed="false">
      <c r="A49" s="14" t="s">
        <v>58</v>
      </c>
      <c r="B49" s="62" t="s">
        <v>1241</v>
      </c>
      <c r="C49" s="14" t="s">
        <v>2734</v>
      </c>
      <c r="D49" s="14" t="s">
        <v>2735</v>
      </c>
      <c r="E49" s="14" t="s">
        <v>2736</v>
      </c>
      <c r="F49" s="14" t="s">
        <v>2737</v>
      </c>
    </row>
    <row r="50" customFormat="false" ht="23.25" hidden="false" customHeight="true" outlineLevel="0" collapsed="false">
      <c r="A50" s="14" t="s">
        <v>58</v>
      </c>
      <c r="B50" s="62" t="s">
        <v>1243</v>
      </c>
      <c r="C50" s="14" t="s">
        <v>2738</v>
      </c>
      <c r="D50" s="14" t="s">
        <v>2739</v>
      </c>
      <c r="E50" s="14" t="s">
        <v>2740</v>
      </c>
      <c r="F50" s="14" t="s">
        <v>2741</v>
      </c>
    </row>
    <row r="51" customFormat="false" ht="23.25" hidden="false" customHeight="true" outlineLevel="0" collapsed="false">
      <c r="A51" s="14" t="s">
        <v>58</v>
      </c>
      <c r="B51" s="62" t="s">
        <v>1247</v>
      </c>
      <c r="C51" s="14" t="s">
        <v>2742</v>
      </c>
      <c r="D51" s="14" t="s">
        <v>2743</v>
      </c>
      <c r="E51" s="14" t="s">
        <v>2744</v>
      </c>
      <c r="F51" s="14" t="s">
        <v>2745</v>
      </c>
    </row>
    <row r="52" customFormat="false" ht="15" hidden="false" customHeight="true" outlineLevel="0" collapsed="false">
      <c r="A52" s="14" t="s">
        <v>58</v>
      </c>
      <c r="B52" s="62" t="s">
        <v>2746</v>
      </c>
      <c r="C52" s="14" t="s">
        <v>2747</v>
      </c>
      <c r="D52" s="14" t="s">
        <v>2748</v>
      </c>
      <c r="E52" s="14" t="s">
        <v>2749</v>
      </c>
      <c r="F52" s="14" t="s">
        <v>2750</v>
      </c>
    </row>
    <row r="53" customFormat="false" ht="23.25" hidden="false" customHeight="true" outlineLevel="0" collapsed="false">
      <c r="A53" s="14" t="s">
        <v>62</v>
      </c>
      <c r="B53" s="62" t="s">
        <v>1305</v>
      </c>
      <c r="C53" s="14" t="s">
        <v>2751</v>
      </c>
      <c r="D53" s="14" t="s">
        <v>2752</v>
      </c>
      <c r="E53" s="14" t="s">
        <v>2753</v>
      </c>
      <c r="F53" s="14" t="s">
        <v>2754</v>
      </c>
    </row>
    <row r="54" customFormat="false" ht="23.25" hidden="false" customHeight="true" outlineLevel="0" collapsed="false">
      <c r="A54" s="14" t="s">
        <v>62</v>
      </c>
      <c r="B54" s="62" t="s">
        <v>1351</v>
      </c>
      <c r="C54" s="14" t="s">
        <v>2755</v>
      </c>
      <c r="D54" s="14" t="s">
        <v>2756</v>
      </c>
      <c r="E54" s="14" t="s">
        <v>2757</v>
      </c>
      <c r="F54" s="14" t="s">
        <v>2758</v>
      </c>
    </row>
    <row r="55" customFormat="false" ht="23.25" hidden="false" customHeight="true" outlineLevel="0" collapsed="false">
      <c r="A55" s="14" t="s">
        <v>62</v>
      </c>
      <c r="B55" s="62" t="s">
        <v>2759</v>
      </c>
      <c r="C55" s="14" t="s">
        <v>2760</v>
      </c>
      <c r="D55" s="14" t="s">
        <v>2761</v>
      </c>
      <c r="E55" s="14" t="s">
        <v>2762</v>
      </c>
      <c r="F55" s="14" t="s">
        <v>2763</v>
      </c>
    </row>
    <row r="56" customFormat="false" ht="34.5" hidden="false" customHeight="true" outlineLevel="0" collapsed="false">
      <c r="A56" s="14" t="s">
        <v>65</v>
      </c>
      <c r="B56" s="62" t="s">
        <v>2764</v>
      </c>
      <c r="C56" s="14" t="s">
        <v>2765</v>
      </c>
      <c r="D56" s="14" t="s">
        <v>2766</v>
      </c>
      <c r="E56" s="14" t="s">
        <v>2767</v>
      </c>
      <c r="F56" s="14" t="s">
        <v>2768</v>
      </c>
    </row>
    <row r="57" customFormat="false" ht="23.25" hidden="false" customHeight="true" outlineLevel="0" collapsed="false">
      <c r="A57" s="14" t="s">
        <v>68</v>
      </c>
      <c r="B57" s="62" t="s">
        <v>2769</v>
      </c>
      <c r="C57" s="14" t="s">
        <v>2770</v>
      </c>
      <c r="D57" s="14" t="s">
        <v>2771</v>
      </c>
      <c r="E57" s="14" t="s">
        <v>2772</v>
      </c>
      <c r="F57" s="14" t="s">
        <v>2773</v>
      </c>
    </row>
    <row r="58" customFormat="false" ht="34.5" hidden="false" customHeight="true" outlineLevel="0" collapsed="false">
      <c r="A58" s="14" t="s">
        <v>68</v>
      </c>
      <c r="B58" s="62" t="s">
        <v>2774</v>
      </c>
      <c r="C58" s="14" t="s">
        <v>2775</v>
      </c>
      <c r="D58" s="14" t="s">
        <v>2776</v>
      </c>
      <c r="E58" s="14" t="s">
        <v>2777</v>
      </c>
      <c r="F58" s="14" t="s">
        <v>2778</v>
      </c>
    </row>
    <row r="59" customFormat="false" ht="23.25" hidden="false" customHeight="true" outlineLevel="0" collapsed="false">
      <c r="A59" s="14" t="s">
        <v>68</v>
      </c>
      <c r="B59" s="62" t="s">
        <v>1479</v>
      </c>
      <c r="C59" s="14" t="s">
        <v>2779</v>
      </c>
      <c r="D59" s="14" t="s">
        <v>2780</v>
      </c>
      <c r="E59" s="14" t="s">
        <v>2781</v>
      </c>
      <c r="F59" s="14" t="s">
        <v>2782</v>
      </c>
    </row>
    <row r="60" customFormat="false" ht="23.25" hidden="false" customHeight="true" outlineLevel="0" collapsed="false">
      <c r="A60" s="14" t="s">
        <v>68</v>
      </c>
      <c r="B60" s="62" t="s">
        <v>2783</v>
      </c>
      <c r="C60" s="14" t="s">
        <v>2784</v>
      </c>
      <c r="D60" s="14" t="s">
        <v>2785</v>
      </c>
      <c r="E60" s="14" t="s">
        <v>2786</v>
      </c>
      <c r="F60" s="14" t="s">
        <v>2787</v>
      </c>
    </row>
    <row r="61" customFormat="false" ht="23.25" hidden="false" customHeight="true" outlineLevel="0" collapsed="false">
      <c r="A61" s="14" t="s">
        <v>68</v>
      </c>
      <c r="B61" s="62" t="s">
        <v>2788</v>
      </c>
      <c r="C61" s="14" t="s">
        <v>2789</v>
      </c>
      <c r="D61" s="14" t="s">
        <v>2790</v>
      </c>
      <c r="E61" s="14" t="s">
        <v>2791</v>
      </c>
      <c r="F61" s="14" t="s">
        <v>2792</v>
      </c>
    </row>
    <row r="62" customFormat="false" ht="15" hidden="false" customHeight="true" outlineLevel="0" collapsed="false">
      <c r="A62" s="14" t="s">
        <v>71</v>
      </c>
      <c r="B62" s="62" t="s">
        <v>1536</v>
      </c>
      <c r="C62" s="14" t="s">
        <v>2793</v>
      </c>
      <c r="D62" s="14" t="s">
        <v>2794</v>
      </c>
      <c r="E62" s="14" t="s">
        <v>2795</v>
      </c>
      <c r="F62" s="14" t="s">
        <v>2796</v>
      </c>
    </row>
    <row r="63" customFormat="false" ht="23.25" hidden="false" customHeight="true" outlineLevel="0" collapsed="false">
      <c r="A63" s="14" t="s">
        <v>71</v>
      </c>
      <c r="B63" s="62" t="s">
        <v>1555</v>
      </c>
      <c r="C63" s="14" t="s">
        <v>2797</v>
      </c>
      <c r="D63" s="14" t="s">
        <v>2798</v>
      </c>
      <c r="E63" s="14" t="s">
        <v>2799</v>
      </c>
      <c r="F63" s="14" t="s">
        <v>2800</v>
      </c>
    </row>
    <row r="64" customFormat="false" ht="15" hidden="false" customHeight="true" outlineLevel="0" collapsed="false">
      <c r="A64" s="14" t="s">
        <v>78</v>
      </c>
      <c r="B64" s="62" t="s">
        <v>2801</v>
      </c>
      <c r="C64" s="14" t="s">
        <v>2802</v>
      </c>
      <c r="D64" s="14" t="s">
        <v>2803</v>
      </c>
      <c r="E64" s="14" t="s">
        <v>2804</v>
      </c>
      <c r="F64" s="14" t="s">
        <v>2805</v>
      </c>
    </row>
    <row r="65" customFormat="false" ht="23.25" hidden="false" customHeight="true" outlineLevel="0" collapsed="false">
      <c r="A65" s="14" t="s">
        <v>78</v>
      </c>
      <c r="B65" s="62" t="s">
        <v>2806</v>
      </c>
      <c r="C65" s="14" t="s">
        <v>2807</v>
      </c>
      <c r="D65" s="14" t="s">
        <v>2808</v>
      </c>
      <c r="E65" s="14" t="s">
        <v>2809</v>
      </c>
      <c r="F65" s="14" t="s">
        <v>2810</v>
      </c>
    </row>
    <row r="66" customFormat="false" ht="23.25" hidden="false" customHeight="true" outlineLevel="0" collapsed="false">
      <c r="A66" s="14" t="s">
        <v>78</v>
      </c>
      <c r="B66" s="62" t="s">
        <v>2811</v>
      </c>
      <c r="C66" s="14" t="s">
        <v>2812</v>
      </c>
      <c r="D66" s="14" t="s">
        <v>2813</v>
      </c>
      <c r="E66" s="14" t="s">
        <v>2814</v>
      </c>
      <c r="F66" s="14" t="s">
        <v>2815</v>
      </c>
    </row>
    <row r="67" customFormat="false" ht="23.25" hidden="false" customHeight="true" outlineLevel="0" collapsed="false">
      <c r="A67" s="14" t="s">
        <v>78</v>
      </c>
      <c r="B67" s="62" t="s">
        <v>2816</v>
      </c>
      <c r="C67" s="14" t="s">
        <v>2817</v>
      </c>
      <c r="D67" s="14" t="s">
        <v>2818</v>
      </c>
      <c r="E67" s="14" t="s">
        <v>2819</v>
      </c>
      <c r="F67" s="14" t="s">
        <v>2820</v>
      </c>
    </row>
    <row r="68" customFormat="false" ht="23.25" hidden="false" customHeight="true" outlineLevel="0" collapsed="false">
      <c r="A68" s="14" t="s">
        <v>78</v>
      </c>
      <c r="B68" s="62" t="s">
        <v>2821</v>
      </c>
      <c r="C68" s="14" t="s">
        <v>2822</v>
      </c>
      <c r="D68" s="14" t="s">
        <v>2823</v>
      </c>
      <c r="E68" s="14" t="s">
        <v>2824</v>
      </c>
      <c r="F68" s="14" t="s">
        <v>2825</v>
      </c>
    </row>
    <row r="69" customFormat="false" ht="23.25" hidden="false" customHeight="true" outlineLevel="0" collapsed="false">
      <c r="A69" s="14" t="s">
        <v>78</v>
      </c>
      <c r="B69" s="62" t="s">
        <v>2826</v>
      </c>
      <c r="C69" s="14" t="s">
        <v>2827</v>
      </c>
      <c r="D69" s="14" t="s">
        <v>2828</v>
      </c>
      <c r="E69" s="14" t="s">
        <v>2829</v>
      </c>
      <c r="F69" s="14" t="s">
        <v>2830</v>
      </c>
    </row>
    <row r="70" customFormat="false" ht="34.5" hidden="false" customHeight="true" outlineLevel="0" collapsed="false">
      <c r="A70" s="14" t="s">
        <v>78</v>
      </c>
      <c r="B70" s="62" t="s">
        <v>2831</v>
      </c>
      <c r="C70" s="14" t="s">
        <v>2832</v>
      </c>
      <c r="D70" s="14" t="s">
        <v>2833</v>
      </c>
      <c r="E70" s="14" t="s">
        <v>2829</v>
      </c>
      <c r="F70" s="14" t="s">
        <v>2834</v>
      </c>
    </row>
    <row r="71" customFormat="false" ht="23.25" hidden="false" customHeight="true" outlineLevel="0" collapsed="false">
      <c r="A71" s="14" t="s">
        <v>78</v>
      </c>
      <c r="B71" s="62" t="s">
        <v>2835</v>
      </c>
      <c r="C71" s="14" t="s">
        <v>2836</v>
      </c>
      <c r="D71" s="14" t="s">
        <v>2837</v>
      </c>
      <c r="E71" s="14" t="s">
        <v>2838</v>
      </c>
      <c r="F71" s="14" t="s">
        <v>2839</v>
      </c>
    </row>
    <row r="72" customFormat="false" ht="34.5" hidden="false" customHeight="true" outlineLevel="0" collapsed="false">
      <c r="A72" s="14" t="s">
        <v>78</v>
      </c>
      <c r="B72" s="62" t="s">
        <v>2840</v>
      </c>
      <c r="C72" s="14" t="s">
        <v>2841</v>
      </c>
      <c r="D72" s="14" t="s">
        <v>2842</v>
      </c>
      <c r="E72" s="14" t="s">
        <v>2843</v>
      </c>
      <c r="F72" s="14" t="s">
        <v>2844</v>
      </c>
    </row>
    <row r="73" customFormat="false" ht="23.25" hidden="false" customHeight="true" outlineLevel="0" collapsed="false">
      <c r="A73" s="14" t="s">
        <v>78</v>
      </c>
      <c r="B73" s="62" t="s">
        <v>2845</v>
      </c>
      <c r="C73" s="14" t="s">
        <v>2846</v>
      </c>
      <c r="D73" s="14" t="s">
        <v>2847</v>
      </c>
      <c r="E73" s="14" t="s">
        <v>2848</v>
      </c>
      <c r="F73" s="14" t="s">
        <v>2849</v>
      </c>
    </row>
    <row r="74" customFormat="false" ht="23.25" hidden="false" customHeight="true" outlineLevel="0" collapsed="false">
      <c r="A74" s="14" t="s">
        <v>78</v>
      </c>
      <c r="B74" s="62" t="s">
        <v>2850</v>
      </c>
      <c r="C74" s="14" t="s">
        <v>2851</v>
      </c>
      <c r="D74" s="14" t="s">
        <v>2852</v>
      </c>
      <c r="E74" s="14" t="s">
        <v>2853</v>
      </c>
      <c r="F74" s="14" t="s">
        <v>2854</v>
      </c>
    </row>
    <row r="75" customFormat="false" ht="23.25" hidden="false" customHeight="true" outlineLevel="0" collapsed="false">
      <c r="A75" s="14" t="s">
        <v>78</v>
      </c>
      <c r="B75" s="62" t="s">
        <v>2855</v>
      </c>
      <c r="C75" s="14" t="s">
        <v>2856</v>
      </c>
      <c r="D75" s="14" t="s">
        <v>2857</v>
      </c>
      <c r="E75" s="14" t="s">
        <v>2858</v>
      </c>
      <c r="F75" s="14" t="s">
        <v>2859</v>
      </c>
    </row>
    <row r="76" customFormat="false" ht="15" hidden="false" customHeight="true" outlineLevel="0" collapsed="false">
      <c r="A76" s="14" t="s">
        <v>78</v>
      </c>
      <c r="B76" s="62" t="s">
        <v>2860</v>
      </c>
      <c r="C76" s="14" t="s">
        <v>2861</v>
      </c>
      <c r="D76" s="14" t="s">
        <v>2862</v>
      </c>
      <c r="E76" s="14" t="s">
        <v>2863</v>
      </c>
      <c r="F76" s="14" t="s">
        <v>2864</v>
      </c>
    </row>
    <row r="77" customFormat="false" ht="23.25" hidden="false" customHeight="true" outlineLevel="0" collapsed="false">
      <c r="A77" s="14" t="s">
        <v>78</v>
      </c>
      <c r="B77" s="62" t="s">
        <v>2865</v>
      </c>
      <c r="C77" s="14" t="s">
        <v>2866</v>
      </c>
      <c r="D77" s="14" t="s">
        <v>2867</v>
      </c>
      <c r="E77" s="14" t="s">
        <v>2868</v>
      </c>
      <c r="F77" s="14" t="s">
        <v>2869</v>
      </c>
    </row>
    <row r="78" customFormat="false" ht="15" hidden="false" customHeight="true" outlineLevel="0" collapsed="false">
      <c r="A78" s="14" t="s">
        <v>78</v>
      </c>
      <c r="B78" s="62" t="s">
        <v>2870</v>
      </c>
      <c r="C78" s="14" t="s">
        <v>2871</v>
      </c>
      <c r="D78" s="14" t="s">
        <v>2872</v>
      </c>
      <c r="E78" s="14" t="s">
        <v>2873</v>
      </c>
      <c r="F78" s="14" t="s">
        <v>2874</v>
      </c>
    </row>
    <row r="79" customFormat="false" ht="23.25" hidden="false" customHeight="true" outlineLevel="0" collapsed="false">
      <c r="A79" s="14" t="s">
        <v>78</v>
      </c>
      <c r="B79" s="62" t="s">
        <v>2875</v>
      </c>
      <c r="C79" s="14" t="s">
        <v>2876</v>
      </c>
      <c r="D79" s="14" t="s">
        <v>2877</v>
      </c>
      <c r="E79" s="14" t="s">
        <v>2878</v>
      </c>
      <c r="F79" s="14" t="s">
        <v>2879</v>
      </c>
    </row>
    <row r="80" customFormat="false" ht="23.25" hidden="false" customHeight="true" outlineLevel="0" collapsed="false">
      <c r="A80" s="14" t="s">
        <v>78</v>
      </c>
      <c r="B80" s="62" t="s">
        <v>2880</v>
      </c>
      <c r="C80" s="14" t="s">
        <v>2881</v>
      </c>
      <c r="D80" s="14" t="s">
        <v>2882</v>
      </c>
      <c r="E80" s="14" t="s">
        <v>2883</v>
      </c>
      <c r="F80" s="14" t="s">
        <v>2884</v>
      </c>
    </row>
    <row r="81" customFormat="false" ht="23.25" hidden="false" customHeight="true" outlineLevel="0" collapsed="false">
      <c r="A81" s="14" t="s">
        <v>78</v>
      </c>
      <c r="B81" s="62" t="s">
        <v>2885</v>
      </c>
      <c r="C81" s="14" t="s">
        <v>2886</v>
      </c>
      <c r="D81" s="14" t="s">
        <v>2887</v>
      </c>
      <c r="E81" s="14" t="s">
        <v>2888</v>
      </c>
      <c r="F81" s="14" t="s">
        <v>2889</v>
      </c>
    </row>
    <row r="82" customFormat="false" ht="23.25" hidden="false" customHeight="true" outlineLevel="0" collapsed="false">
      <c r="A82" s="14" t="s">
        <v>78</v>
      </c>
      <c r="B82" s="62" t="s">
        <v>2890</v>
      </c>
      <c r="C82" s="14" t="s">
        <v>2891</v>
      </c>
      <c r="D82" s="14" t="s">
        <v>2892</v>
      </c>
      <c r="E82" s="14" t="s">
        <v>2893</v>
      </c>
      <c r="F82" s="14" t="s">
        <v>2894</v>
      </c>
    </row>
    <row r="83" customFormat="false" ht="23.25" hidden="false" customHeight="true" outlineLevel="0" collapsed="false">
      <c r="A83" s="14" t="s">
        <v>78</v>
      </c>
      <c r="B83" s="62" t="s">
        <v>2895</v>
      </c>
      <c r="C83" s="14" t="s">
        <v>2896</v>
      </c>
      <c r="D83" s="14" t="s">
        <v>2897</v>
      </c>
      <c r="E83" s="14" t="s">
        <v>2898</v>
      </c>
      <c r="F83" s="14" t="s">
        <v>2899</v>
      </c>
    </row>
    <row r="84" customFormat="false" ht="34.5" hidden="false" customHeight="true" outlineLevel="0" collapsed="false">
      <c r="A84" s="14" t="s">
        <v>78</v>
      </c>
      <c r="B84" s="62" t="s">
        <v>2900</v>
      </c>
      <c r="C84" s="14" t="s">
        <v>2901</v>
      </c>
      <c r="D84" s="14" t="s">
        <v>2902</v>
      </c>
      <c r="E84" s="14" t="s">
        <v>2903</v>
      </c>
      <c r="F84" s="14" t="s">
        <v>2904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90"/>
    <col collapsed="false" customWidth="true" hidden="false" outlineLevel="0" max="4" min="4" style="1" width="40"/>
  </cols>
  <sheetData>
    <row r="1" customFormat="false" ht="30" hidden="false" customHeight="true" outlineLevel="0" collapsed="false">
      <c r="A1" s="61" t="s">
        <v>105</v>
      </c>
      <c r="B1" s="61"/>
      <c r="C1" s="61"/>
      <c r="D1" s="61"/>
    </row>
    <row r="2" customFormat="false" ht="15" hidden="false" customHeight="true" outlineLevel="0" collapsed="false">
      <c r="A2" s="11" t="s">
        <v>2905</v>
      </c>
    </row>
    <row r="4" customFormat="false" ht="15" hidden="false" customHeight="true" outlineLevel="0" collapsed="false">
      <c r="A4" s="6" t="s">
        <v>2906</v>
      </c>
      <c r="B4" s="6" t="s">
        <v>2305</v>
      </c>
      <c r="C4" s="6" t="s">
        <v>2907</v>
      </c>
      <c r="D4" s="6" t="s">
        <v>2908</v>
      </c>
    </row>
    <row r="5" customFormat="false" ht="23.25" hidden="false" customHeight="true" outlineLevel="0" collapsed="false">
      <c r="A5" s="62" t="s">
        <v>2909</v>
      </c>
      <c r="B5" s="14" t="s">
        <v>45</v>
      </c>
      <c r="C5" s="14" t="s">
        <v>2910</v>
      </c>
      <c r="D5" s="14" t="s">
        <v>2911</v>
      </c>
    </row>
    <row r="6" customFormat="false" ht="15" hidden="false" customHeight="true" outlineLevel="0" collapsed="false">
      <c r="A6" s="62" t="s">
        <v>2912</v>
      </c>
      <c r="B6" s="14" t="s">
        <v>48</v>
      </c>
      <c r="C6" s="14" t="s">
        <v>2913</v>
      </c>
      <c r="D6" s="14" t="s">
        <v>2914</v>
      </c>
    </row>
    <row r="7" customFormat="false" ht="15" hidden="false" customHeight="true" outlineLevel="0" collapsed="false">
      <c r="A7" s="62" t="s">
        <v>1963</v>
      </c>
      <c r="B7" s="14" t="s">
        <v>78</v>
      </c>
      <c r="C7" s="14" t="s">
        <v>2915</v>
      </c>
      <c r="D7" s="14"/>
    </row>
    <row r="8" customFormat="false" ht="15" hidden="false" customHeight="true" outlineLevel="0" collapsed="false">
      <c r="A8" s="62" t="s">
        <v>2916</v>
      </c>
      <c r="B8" s="14" t="s">
        <v>45</v>
      </c>
      <c r="C8" s="14" t="s">
        <v>2917</v>
      </c>
      <c r="D8" s="14"/>
    </row>
    <row r="9" customFormat="false" ht="23.25" hidden="false" customHeight="true" outlineLevel="0" collapsed="false">
      <c r="A9" s="62" t="s">
        <v>2918</v>
      </c>
      <c r="B9" s="14" t="s">
        <v>33</v>
      </c>
      <c r="C9" s="14" t="s">
        <v>2919</v>
      </c>
      <c r="D9" s="14" t="s">
        <v>2920</v>
      </c>
    </row>
    <row r="10" customFormat="false" ht="15" hidden="false" customHeight="true" outlineLevel="0" collapsed="false">
      <c r="A10" s="62" t="s">
        <v>2921</v>
      </c>
      <c r="B10" s="14" t="s">
        <v>33</v>
      </c>
      <c r="C10" s="14" t="s">
        <v>2922</v>
      </c>
      <c r="D10" s="14" t="s">
        <v>2923</v>
      </c>
    </row>
    <row r="11" customFormat="false" ht="23.25" hidden="false" customHeight="true" outlineLevel="0" collapsed="false">
      <c r="A11" s="62" t="s">
        <v>2924</v>
      </c>
      <c r="B11" s="14" t="s">
        <v>33</v>
      </c>
      <c r="C11" s="14" t="s">
        <v>2925</v>
      </c>
      <c r="D11" s="14" t="s">
        <v>2926</v>
      </c>
    </row>
    <row r="12" customFormat="false" ht="23.25" hidden="false" customHeight="true" outlineLevel="0" collapsed="false">
      <c r="A12" s="62" t="s">
        <v>2927</v>
      </c>
      <c r="B12" s="14" t="s">
        <v>78</v>
      </c>
      <c r="C12" s="14" t="s">
        <v>2928</v>
      </c>
      <c r="D12" s="14"/>
    </row>
    <row r="13" customFormat="false" ht="23.25" hidden="false" customHeight="true" outlineLevel="0" collapsed="false">
      <c r="A13" s="62" t="s">
        <v>2929</v>
      </c>
      <c r="B13" s="14" t="s">
        <v>75</v>
      </c>
      <c r="C13" s="14" t="s">
        <v>2930</v>
      </c>
      <c r="D13" s="14"/>
    </row>
    <row r="14" customFormat="false" ht="23.25" hidden="false" customHeight="true" outlineLevel="0" collapsed="false">
      <c r="A14" s="62" t="s">
        <v>2931</v>
      </c>
      <c r="B14" s="14" t="s">
        <v>42</v>
      </c>
      <c r="C14" s="14" t="s">
        <v>2932</v>
      </c>
      <c r="D14" s="14" t="s">
        <v>2933</v>
      </c>
    </row>
    <row r="15" customFormat="false" ht="23.25" hidden="false" customHeight="true" outlineLevel="0" collapsed="false">
      <c r="A15" s="62" t="s">
        <v>2153</v>
      </c>
      <c r="B15" s="14" t="s">
        <v>52</v>
      </c>
      <c r="C15" s="14" t="s">
        <v>2934</v>
      </c>
      <c r="D15" s="14" t="s">
        <v>2935</v>
      </c>
    </row>
    <row r="16" customFormat="false" ht="15" hidden="false" customHeight="true" outlineLevel="0" collapsed="false">
      <c r="A16" s="62" t="s">
        <v>2936</v>
      </c>
      <c r="B16" s="14" t="s">
        <v>58</v>
      </c>
      <c r="C16" s="14" t="s">
        <v>2937</v>
      </c>
      <c r="D16" s="14" t="s">
        <v>2938</v>
      </c>
    </row>
    <row r="17" customFormat="false" ht="23.25" hidden="false" customHeight="true" outlineLevel="0" collapsed="false">
      <c r="A17" s="62" t="s">
        <v>2939</v>
      </c>
      <c r="B17" s="14" t="s">
        <v>55</v>
      </c>
      <c r="C17" s="14" t="s">
        <v>2940</v>
      </c>
      <c r="D17" s="14"/>
    </row>
    <row r="18" customFormat="false" ht="23.25" hidden="false" customHeight="true" outlineLevel="0" collapsed="false">
      <c r="A18" s="62" t="s">
        <v>2941</v>
      </c>
      <c r="B18" s="14" t="s">
        <v>58</v>
      </c>
      <c r="C18" s="14" t="s">
        <v>2942</v>
      </c>
      <c r="D18" s="14" t="s">
        <v>2943</v>
      </c>
    </row>
    <row r="19" customFormat="false" ht="23.25" hidden="false" customHeight="true" outlineLevel="0" collapsed="false">
      <c r="A19" s="62" t="s">
        <v>2944</v>
      </c>
      <c r="B19" s="14" t="s">
        <v>26</v>
      </c>
      <c r="C19" s="14" t="s">
        <v>2945</v>
      </c>
      <c r="D19" s="14" t="s">
        <v>2946</v>
      </c>
    </row>
    <row r="20" customFormat="false" ht="23.25" hidden="false" customHeight="true" outlineLevel="0" collapsed="false">
      <c r="A20" s="62" t="s">
        <v>909</v>
      </c>
      <c r="B20" s="14" t="s">
        <v>26</v>
      </c>
      <c r="C20" s="14" t="s">
        <v>2947</v>
      </c>
      <c r="D20" s="14"/>
    </row>
    <row r="21" customFormat="false" ht="23.25" hidden="false" customHeight="true" outlineLevel="0" collapsed="false">
      <c r="A21" s="62" t="s">
        <v>2948</v>
      </c>
      <c r="B21" s="14" t="s">
        <v>55</v>
      </c>
      <c r="C21" s="14" t="s">
        <v>2949</v>
      </c>
      <c r="D21" s="14"/>
    </row>
    <row r="22" customFormat="false" ht="23.25" hidden="false" customHeight="true" outlineLevel="0" collapsed="false">
      <c r="A22" s="62" t="s">
        <v>2950</v>
      </c>
      <c r="B22" s="14" t="s">
        <v>78</v>
      </c>
      <c r="C22" s="14" t="s">
        <v>2951</v>
      </c>
      <c r="D22" s="14"/>
    </row>
    <row r="23" customFormat="false" ht="23.25" hidden="false" customHeight="true" outlineLevel="0" collapsed="false">
      <c r="A23" s="62" t="s">
        <v>2952</v>
      </c>
      <c r="B23" s="14" t="s">
        <v>78</v>
      </c>
      <c r="C23" s="14" t="s">
        <v>2953</v>
      </c>
      <c r="D23" s="14"/>
    </row>
    <row r="24" customFormat="false" ht="23.25" hidden="false" customHeight="true" outlineLevel="0" collapsed="false">
      <c r="A24" s="62" t="s">
        <v>2954</v>
      </c>
      <c r="B24" s="14" t="s">
        <v>78</v>
      </c>
      <c r="C24" s="14" t="s">
        <v>2955</v>
      </c>
      <c r="D24" s="14"/>
    </row>
    <row r="25" customFormat="false" ht="23.25" hidden="false" customHeight="true" outlineLevel="0" collapsed="false">
      <c r="A25" s="62" t="s">
        <v>2956</v>
      </c>
      <c r="B25" s="14" t="s">
        <v>30</v>
      </c>
      <c r="C25" s="14" t="s">
        <v>2957</v>
      </c>
      <c r="D25" s="14" t="s">
        <v>2958</v>
      </c>
    </row>
    <row r="26" customFormat="false" ht="23.25" hidden="false" customHeight="true" outlineLevel="0" collapsed="false">
      <c r="A26" s="62" t="s">
        <v>2959</v>
      </c>
      <c r="B26" s="14" t="s">
        <v>30</v>
      </c>
      <c r="C26" s="14" t="s">
        <v>2960</v>
      </c>
      <c r="D26" s="14"/>
    </row>
    <row r="27" customFormat="false" ht="23.25" hidden="false" customHeight="true" outlineLevel="0" collapsed="false">
      <c r="A27" s="62" t="s">
        <v>2961</v>
      </c>
      <c r="B27" s="14" t="s">
        <v>75</v>
      </c>
      <c r="C27" s="14" t="s">
        <v>2962</v>
      </c>
      <c r="D27" s="14"/>
    </row>
    <row r="28" customFormat="false" ht="15" hidden="false" customHeight="true" outlineLevel="0" collapsed="false">
      <c r="A28" s="62" t="s">
        <v>2860</v>
      </c>
      <c r="B28" s="14" t="s">
        <v>78</v>
      </c>
      <c r="C28" s="14" t="s">
        <v>2963</v>
      </c>
      <c r="D28" s="14"/>
    </row>
    <row r="29" customFormat="false" ht="15" hidden="false" customHeight="true" outlineLevel="0" collapsed="false">
      <c r="A29" s="62" t="s">
        <v>412</v>
      </c>
      <c r="B29" s="14" t="s">
        <v>33</v>
      </c>
      <c r="C29" s="14" t="s">
        <v>2964</v>
      </c>
      <c r="D29" s="14"/>
    </row>
    <row r="30" customFormat="false" ht="23.25" hidden="false" customHeight="true" outlineLevel="0" collapsed="false">
      <c r="A30" s="62" t="s">
        <v>2154</v>
      </c>
      <c r="B30" s="14" t="s">
        <v>58</v>
      </c>
      <c r="C30" s="14" t="s">
        <v>2965</v>
      </c>
      <c r="D30" s="14"/>
    </row>
    <row r="31" customFormat="false" ht="23.25" hidden="false" customHeight="true" outlineLevel="0" collapsed="false">
      <c r="A31" s="62" t="s">
        <v>2966</v>
      </c>
      <c r="B31" s="14" t="s">
        <v>20</v>
      </c>
      <c r="C31" s="14" t="s">
        <v>2967</v>
      </c>
      <c r="D31" s="14" t="s">
        <v>2968</v>
      </c>
    </row>
    <row r="32" customFormat="false" ht="23.25" hidden="false" customHeight="true" outlineLevel="0" collapsed="false">
      <c r="A32" s="62" t="s">
        <v>2969</v>
      </c>
      <c r="B32" s="14" t="s">
        <v>20</v>
      </c>
      <c r="C32" s="14" t="s">
        <v>2970</v>
      </c>
      <c r="D32" s="14" t="s">
        <v>2971</v>
      </c>
    </row>
    <row r="33" customFormat="false" ht="15" hidden="false" customHeight="true" outlineLevel="0" collapsed="false">
      <c r="A33" s="62" t="s">
        <v>2972</v>
      </c>
      <c r="B33" s="14" t="s">
        <v>2973</v>
      </c>
      <c r="C33" s="14" t="s">
        <v>2974</v>
      </c>
      <c r="D33" s="14"/>
    </row>
    <row r="34" customFormat="false" ht="15" hidden="false" customHeight="true" outlineLevel="0" collapsed="false">
      <c r="A34" s="62" t="s">
        <v>2975</v>
      </c>
      <c r="B34" s="14" t="s">
        <v>2973</v>
      </c>
      <c r="C34" s="14" t="s">
        <v>2976</v>
      </c>
      <c r="D34" s="14"/>
    </row>
    <row r="35" customFormat="false" ht="23.25" hidden="false" customHeight="true" outlineLevel="0" collapsed="false">
      <c r="A35" s="62" t="s">
        <v>2977</v>
      </c>
      <c r="B35" s="14" t="s">
        <v>45</v>
      </c>
      <c r="C35" s="14" t="s">
        <v>2978</v>
      </c>
      <c r="D35" s="14" t="s">
        <v>2979</v>
      </c>
    </row>
    <row r="36" customFormat="false" ht="23.25" hidden="false" customHeight="true" outlineLevel="0" collapsed="false">
      <c r="A36" s="62" t="s">
        <v>2980</v>
      </c>
      <c r="B36" s="14" t="s">
        <v>48</v>
      </c>
      <c r="C36" s="14" t="s">
        <v>2981</v>
      </c>
      <c r="D36" s="14"/>
    </row>
    <row r="37" customFormat="false" ht="15" hidden="false" customHeight="true" outlineLevel="0" collapsed="false">
      <c r="A37" s="62" t="s">
        <v>1472</v>
      </c>
      <c r="B37" s="14" t="s">
        <v>23</v>
      </c>
      <c r="C37" s="14" t="s">
        <v>2982</v>
      </c>
      <c r="D37" s="14" t="s">
        <v>2983</v>
      </c>
    </row>
    <row r="38" customFormat="false" ht="15" hidden="false" customHeight="true" outlineLevel="0" collapsed="false">
      <c r="A38" s="62" t="s">
        <v>2984</v>
      </c>
      <c r="B38" s="14" t="s">
        <v>62</v>
      </c>
      <c r="C38" s="14" t="s">
        <v>2985</v>
      </c>
      <c r="D38" s="14" t="s">
        <v>2986</v>
      </c>
    </row>
    <row r="39" customFormat="false" ht="23.25" hidden="false" customHeight="true" outlineLevel="0" collapsed="false">
      <c r="A39" s="62" t="s">
        <v>2987</v>
      </c>
      <c r="B39" s="14" t="s">
        <v>23</v>
      </c>
      <c r="C39" s="14" t="s">
        <v>2988</v>
      </c>
      <c r="D39" s="14" t="s">
        <v>2989</v>
      </c>
    </row>
    <row r="40" customFormat="false" ht="23.25" hidden="false" customHeight="true" outlineLevel="0" collapsed="false">
      <c r="A40" s="62" t="s">
        <v>2990</v>
      </c>
      <c r="B40" s="14" t="s">
        <v>62</v>
      </c>
      <c r="C40" s="14" t="s">
        <v>2991</v>
      </c>
      <c r="D40" s="14" t="s">
        <v>2992</v>
      </c>
    </row>
    <row r="41" customFormat="false" ht="15" hidden="false" customHeight="true" outlineLevel="0" collapsed="false">
      <c r="A41" s="62" t="s">
        <v>2993</v>
      </c>
      <c r="B41" s="14" t="s">
        <v>23</v>
      </c>
      <c r="C41" s="14" t="s">
        <v>2994</v>
      </c>
      <c r="D41" s="14" t="s">
        <v>2995</v>
      </c>
    </row>
    <row r="42" customFormat="false" ht="23.25" hidden="false" customHeight="true" outlineLevel="0" collapsed="false">
      <c r="A42" s="62" t="s">
        <v>2996</v>
      </c>
      <c r="B42" s="14" t="s">
        <v>62</v>
      </c>
      <c r="C42" s="14" t="s">
        <v>2997</v>
      </c>
      <c r="D42" s="14"/>
    </row>
    <row r="43" customFormat="false" ht="15" hidden="false" customHeight="true" outlineLevel="0" collapsed="false">
      <c r="A43" s="62" t="s">
        <v>2998</v>
      </c>
      <c r="B43" s="14" t="s">
        <v>23</v>
      </c>
      <c r="C43" s="14" t="s">
        <v>2999</v>
      </c>
      <c r="D43" s="14" t="s">
        <v>3000</v>
      </c>
    </row>
    <row r="44" customFormat="false" ht="15" hidden="false" customHeight="true" outlineLevel="0" collapsed="false">
      <c r="A44" s="62" t="s">
        <v>2031</v>
      </c>
      <c r="B44" s="14" t="s">
        <v>26</v>
      </c>
      <c r="C44" s="14" t="s">
        <v>3001</v>
      </c>
      <c r="D44" s="14"/>
    </row>
    <row r="45" customFormat="false" ht="23.25" hidden="false" customHeight="true" outlineLevel="0" collapsed="false">
      <c r="A45" s="62" t="s">
        <v>2044</v>
      </c>
      <c r="B45" s="14" t="s">
        <v>62</v>
      </c>
      <c r="C45" s="14" t="s">
        <v>3002</v>
      </c>
      <c r="D45" s="14" t="s">
        <v>3003</v>
      </c>
    </row>
    <row r="46" customFormat="false" ht="23.25" hidden="false" customHeight="true" outlineLevel="0" collapsed="false">
      <c r="A46" s="62" t="s">
        <v>2594</v>
      </c>
      <c r="B46" s="14" t="s">
        <v>36</v>
      </c>
      <c r="C46" s="14" t="s">
        <v>3004</v>
      </c>
      <c r="D46" s="14" t="s">
        <v>3005</v>
      </c>
    </row>
    <row r="47" customFormat="false" ht="23.25" hidden="false" customHeight="true" outlineLevel="0" collapsed="false">
      <c r="A47" s="62" t="s">
        <v>3006</v>
      </c>
      <c r="B47" s="14" t="s">
        <v>3007</v>
      </c>
      <c r="C47" s="14" t="s">
        <v>3008</v>
      </c>
      <c r="D47" s="14" t="s">
        <v>2986</v>
      </c>
    </row>
    <row r="48" customFormat="false" ht="23.25" hidden="false" customHeight="true" outlineLevel="0" collapsed="false">
      <c r="A48" s="62" t="s">
        <v>2040</v>
      </c>
      <c r="B48" s="14" t="s">
        <v>62</v>
      </c>
      <c r="C48" s="14" t="s">
        <v>3009</v>
      </c>
      <c r="D48" s="14" t="s">
        <v>3010</v>
      </c>
    </row>
    <row r="49" customFormat="false" ht="23.25" hidden="false" customHeight="true" outlineLevel="0" collapsed="false">
      <c r="A49" s="62" t="s">
        <v>3011</v>
      </c>
      <c r="B49" s="14" t="s">
        <v>23</v>
      </c>
      <c r="C49" s="14" t="s">
        <v>3012</v>
      </c>
      <c r="D49" s="14" t="s">
        <v>3013</v>
      </c>
    </row>
    <row r="50" customFormat="false" ht="15" hidden="false" customHeight="true" outlineLevel="0" collapsed="false">
      <c r="A50" s="62" t="s">
        <v>2890</v>
      </c>
      <c r="B50" s="14" t="s">
        <v>26</v>
      </c>
      <c r="C50" s="14" t="s">
        <v>3014</v>
      </c>
      <c r="D50" s="14"/>
    </row>
    <row r="51" customFormat="false" ht="15" hidden="false" customHeight="true" outlineLevel="0" collapsed="false">
      <c r="A51" s="62" t="s">
        <v>268</v>
      </c>
      <c r="B51" s="14" t="s">
        <v>23</v>
      </c>
      <c r="C51" s="14" t="s">
        <v>3015</v>
      </c>
      <c r="D51" s="14" t="s">
        <v>3016</v>
      </c>
    </row>
    <row r="52" customFormat="false" ht="23.25" hidden="false" customHeight="true" outlineLevel="0" collapsed="false">
      <c r="A52" s="62" t="s">
        <v>3017</v>
      </c>
      <c r="B52" s="14" t="s">
        <v>78</v>
      </c>
      <c r="C52" s="14" t="s">
        <v>3018</v>
      </c>
      <c r="D52" s="14"/>
    </row>
    <row r="53" customFormat="false" ht="34.5" hidden="false" customHeight="true" outlineLevel="0" collapsed="false">
      <c r="A53" s="62" t="s">
        <v>3019</v>
      </c>
      <c r="B53" s="14" t="s">
        <v>75</v>
      </c>
      <c r="C53" s="14" t="s">
        <v>3020</v>
      </c>
      <c r="D53" s="14"/>
    </row>
    <row r="54" customFormat="false" ht="15" hidden="false" customHeight="true" outlineLevel="0" collapsed="false">
      <c r="A54" s="62" t="s">
        <v>3021</v>
      </c>
      <c r="B54" s="14" t="s">
        <v>75</v>
      </c>
      <c r="C54" s="14" t="s">
        <v>3022</v>
      </c>
      <c r="D54" s="14"/>
    </row>
    <row r="55" customFormat="false" ht="23.25" hidden="false" customHeight="true" outlineLevel="0" collapsed="false">
      <c r="A55" s="62" t="s">
        <v>3023</v>
      </c>
      <c r="B55" s="14" t="s">
        <v>75</v>
      </c>
      <c r="C55" s="14" t="s">
        <v>3024</v>
      </c>
      <c r="D55" s="14"/>
    </row>
    <row r="56" customFormat="false" ht="23.25" hidden="false" customHeight="true" outlineLevel="0" collapsed="false">
      <c r="A56" s="62" t="s">
        <v>3025</v>
      </c>
      <c r="B56" s="14" t="s">
        <v>39</v>
      </c>
      <c r="C56" s="14" t="s">
        <v>3026</v>
      </c>
      <c r="D56" s="14" t="s">
        <v>3027</v>
      </c>
    </row>
    <row r="57" customFormat="false" ht="15" hidden="false" customHeight="true" outlineLevel="0" collapsed="false">
      <c r="A57" s="62" t="s">
        <v>2098</v>
      </c>
      <c r="B57" s="14" t="s">
        <v>26</v>
      </c>
      <c r="C57" s="14" t="s">
        <v>3028</v>
      </c>
      <c r="D57" s="14"/>
    </row>
    <row r="58" customFormat="false" ht="23.25" hidden="false" customHeight="true" outlineLevel="0" collapsed="false">
      <c r="A58" s="62" t="s">
        <v>3029</v>
      </c>
      <c r="B58" s="14" t="s">
        <v>78</v>
      </c>
      <c r="C58" s="14" t="s">
        <v>3030</v>
      </c>
      <c r="D58" s="14"/>
    </row>
    <row r="59" customFormat="false" ht="15" hidden="false" customHeight="true" outlineLevel="0" collapsed="false">
      <c r="A59" s="62" t="s">
        <v>3031</v>
      </c>
      <c r="B59" s="14" t="s">
        <v>78</v>
      </c>
      <c r="C59" s="14" t="s">
        <v>3032</v>
      </c>
      <c r="D59" s="14"/>
    </row>
    <row r="60" customFormat="false" ht="23.25" hidden="false" customHeight="true" outlineLevel="0" collapsed="false">
      <c r="A60" s="62" t="s">
        <v>1247</v>
      </c>
      <c r="B60" s="14" t="s">
        <v>58</v>
      </c>
      <c r="C60" s="14" t="s">
        <v>3033</v>
      </c>
      <c r="D60" s="14"/>
    </row>
    <row r="61" customFormat="false" ht="23.25" hidden="false" customHeight="true" outlineLevel="0" collapsed="false">
      <c r="A61" s="62" t="s">
        <v>1243</v>
      </c>
      <c r="B61" s="14" t="s">
        <v>58</v>
      </c>
      <c r="C61" s="14" t="s">
        <v>3034</v>
      </c>
      <c r="D61" s="14"/>
    </row>
    <row r="62" customFormat="false" ht="23.25" hidden="false" customHeight="true" outlineLevel="0" collapsed="false">
      <c r="A62" s="62" t="s">
        <v>3035</v>
      </c>
      <c r="B62" s="14" t="s">
        <v>75</v>
      </c>
      <c r="C62" s="14" t="s">
        <v>3036</v>
      </c>
      <c r="D62" s="14"/>
    </row>
    <row r="63" customFormat="false" ht="23.25" hidden="false" customHeight="true" outlineLevel="0" collapsed="false">
      <c r="A63" s="62" t="s">
        <v>3037</v>
      </c>
      <c r="B63" s="14" t="s">
        <v>75</v>
      </c>
      <c r="C63" s="14" t="s">
        <v>3038</v>
      </c>
      <c r="D63" s="14"/>
    </row>
    <row r="64" customFormat="false" ht="23.25" hidden="false" customHeight="true" outlineLevel="0" collapsed="false">
      <c r="A64" s="62" t="s">
        <v>3039</v>
      </c>
      <c r="B64" s="14" t="s">
        <v>71</v>
      </c>
      <c r="C64" s="14" t="s">
        <v>3040</v>
      </c>
      <c r="D64" s="14"/>
    </row>
    <row r="65" customFormat="false" ht="23.25" hidden="false" customHeight="true" outlineLevel="0" collapsed="false">
      <c r="A65" s="62" t="s">
        <v>3041</v>
      </c>
      <c r="B65" s="14" t="s">
        <v>52</v>
      </c>
      <c r="C65" s="14" t="s">
        <v>3042</v>
      </c>
      <c r="D65" s="14" t="s">
        <v>3043</v>
      </c>
    </row>
    <row r="66" customFormat="false" ht="23.25" hidden="false" customHeight="true" outlineLevel="0" collapsed="false">
      <c r="A66" s="62" t="s">
        <v>3044</v>
      </c>
      <c r="B66" s="14" t="s">
        <v>36</v>
      </c>
      <c r="C66" s="14" t="s">
        <v>3045</v>
      </c>
      <c r="D66" s="14" t="s">
        <v>3046</v>
      </c>
    </row>
    <row r="67" customFormat="false" ht="15" hidden="false" customHeight="true" outlineLevel="0" collapsed="false">
      <c r="A67" s="62" t="s">
        <v>3047</v>
      </c>
      <c r="B67" s="14" t="s">
        <v>26</v>
      </c>
      <c r="C67" s="14" t="s">
        <v>3048</v>
      </c>
      <c r="D67" s="14"/>
    </row>
    <row r="68" customFormat="false" ht="23.25" hidden="false" customHeight="true" outlineLevel="0" collapsed="false">
      <c r="A68" s="62" t="s">
        <v>3049</v>
      </c>
      <c r="B68" s="14" t="s">
        <v>75</v>
      </c>
      <c r="C68" s="14" t="s">
        <v>3050</v>
      </c>
      <c r="D68" s="14"/>
    </row>
    <row r="69" customFormat="false" ht="23.25" hidden="false" customHeight="true" outlineLevel="0" collapsed="false">
      <c r="A69" s="62" t="s">
        <v>2850</v>
      </c>
      <c r="B69" s="14" t="s">
        <v>78</v>
      </c>
      <c r="C69" s="14" t="s">
        <v>3051</v>
      </c>
      <c r="D69" s="14"/>
    </row>
    <row r="70" customFormat="false" ht="15" hidden="false" customHeight="true" outlineLevel="0" collapsed="false">
      <c r="A70" s="62" t="s">
        <v>2845</v>
      </c>
      <c r="B70" s="14" t="s">
        <v>78</v>
      </c>
      <c r="C70" s="14" t="s">
        <v>3052</v>
      </c>
      <c r="D70" s="14"/>
    </row>
    <row r="71" customFormat="false" ht="23.25" hidden="false" customHeight="true" outlineLevel="0" collapsed="false">
      <c r="A71" s="62" t="s">
        <v>2855</v>
      </c>
      <c r="B71" s="14" t="s">
        <v>78</v>
      </c>
      <c r="C71" s="14" t="s">
        <v>3053</v>
      </c>
      <c r="D71" s="14"/>
    </row>
    <row r="72" customFormat="false" ht="23.25" hidden="false" customHeight="true" outlineLevel="0" collapsed="false">
      <c r="A72" s="62" t="s">
        <v>3054</v>
      </c>
      <c r="B72" s="14" t="s">
        <v>75</v>
      </c>
      <c r="C72" s="14" t="s">
        <v>3055</v>
      </c>
      <c r="D72" s="14"/>
    </row>
    <row r="73" customFormat="false" ht="23.25" hidden="false" customHeight="true" outlineLevel="0" collapsed="false">
      <c r="A73" s="62" t="s">
        <v>3056</v>
      </c>
      <c r="B73" s="14" t="s">
        <v>26</v>
      </c>
      <c r="C73" s="14" t="s">
        <v>3057</v>
      </c>
      <c r="D73" s="14"/>
    </row>
    <row r="74" customFormat="false" ht="23.25" hidden="false" customHeight="true" outlineLevel="0" collapsed="false">
      <c r="A74" s="62" t="s">
        <v>3058</v>
      </c>
      <c r="B74" s="14" t="s">
        <v>78</v>
      </c>
      <c r="C74" s="14" t="s">
        <v>3059</v>
      </c>
      <c r="D74" s="14"/>
    </row>
    <row r="75" customFormat="false" ht="15" hidden="false" customHeight="true" outlineLevel="0" collapsed="false">
      <c r="A75" s="62" t="s">
        <v>692</v>
      </c>
      <c r="B75" s="14" t="s">
        <v>42</v>
      </c>
      <c r="C75" s="14" t="s">
        <v>3060</v>
      </c>
      <c r="D75" s="14"/>
    </row>
    <row r="76" customFormat="false" ht="23.25" hidden="false" customHeight="true" outlineLevel="0" collapsed="false">
      <c r="A76" s="62" t="s">
        <v>2264</v>
      </c>
      <c r="B76" s="14" t="s">
        <v>65</v>
      </c>
      <c r="C76" s="14" t="s">
        <v>3061</v>
      </c>
      <c r="D76" s="14"/>
    </row>
    <row r="77" customFormat="false" ht="23.25" hidden="false" customHeight="true" outlineLevel="0" collapsed="false">
      <c r="A77" s="62" t="s">
        <v>3062</v>
      </c>
      <c r="B77" s="14" t="s">
        <v>75</v>
      </c>
      <c r="C77" s="14" t="s">
        <v>3063</v>
      </c>
      <c r="D77" s="14"/>
    </row>
    <row r="78" customFormat="false" ht="23.25" hidden="false" customHeight="true" outlineLevel="0" collapsed="false">
      <c r="A78" s="62" t="s">
        <v>167</v>
      </c>
      <c r="B78" s="14" t="s">
        <v>39</v>
      </c>
      <c r="C78" s="14" t="s">
        <v>3064</v>
      </c>
      <c r="D78" s="14" t="s">
        <v>3065</v>
      </c>
    </row>
    <row r="79" customFormat="false" ht="15" hidden="false" customHeight="true" outlineLevel="0" collapsed="false">
      <c r="A79" s="62" t="s">
        <v>688</v>
      </c>
      <c r="B79" s="14" t="s">
        <v>42</v>
      </c>
      <c r="C79" s="14" t="s">
        <v>3066</v>
      </c>
      <c r="D79" s="14"/>
    </row>
    <row r="80" customFormat="false" ht="23.25" hidden="false" customHeight="true" outlineLevel="0" collapsed="false">
      <c r="A80" s="62" t="s">
        <v>3067</v>
      </c>
      <c r="B80" s="14" t="s">
        <v>17</v>
      </c>
      <c r="C80" s="14" t="s">
        <v>3068</v>
      </c>
      <c r="D80" s="14"/>
    </row>
    <row r="81" customFormat="false" ht="45.75" hidden="false" customHeight="true" outlineLevel="0" collapsed="false">
      <c r="A81" s="62" t="s">
        <v>3069</v>
      </c>
      <c r="B81" s="14" t="s">
        <v>68</v>
      </c>
      <c r="C81" s="14" t="s">
        <v>3070</v>
      </c>
      <c r="D81" s="14" t="s">
        <v>3071</v>
      </c>
    </row>
    <row r="82" customFormat="false" ht="15" hidden="false" customHeight="true" outlineLevel="0" collapsed="false">
      <c r="A82" s="62" t="s">
        <v>3072</v>
      </c>
      <c r="B82" s="14" t="s">
        <v>71</v>
      </c>
      <c r="C82" s="14" t="s">
        <v>3073</v>
      </c>
      <c r="D82" s="14"/>
    </row>
    <row r="83" customFormat="false" ht="23.25" hidden="false" customHeight="true" outlineLevel="0" collapsed="false">
      <c r="A83" s="62" t="s">
        <v>3074</v>
      </c>
      <c r="B83" s="14" t="s">
        <v>78</v>
      </c>
      <c r="C83" s="14" t="s">
        <v>3075</v>
      </c>
      <c r="D83" s="14"/>
    </row>
    <row r="84" customFormat="false" ht="23.25" hidden="false" customHeight="true" outlineLevel="0" collapsed="false">
      <c r="A84" s="62" t="s">
        <v>2093</v>
      </c>
      <c r="B84" s="14" t="s">
        <v>30</v>
      </c>
      <c r="C84" s="14" t="s">
        <v>3076</v>
      </c>
      <c r="D84" s="14" t="s">
        <v>3077</v>
      </c>
    </row>
    <row r="85" customFormat="false" ht="34.5" hidden="false" customHeight="true" outlineLevel="0" collapsed="false">
      <c r="A85" s="62" t="s">
        <v>3078</v>
      </c>
      <c r="B85" s="14" t="s">
        <v>75</v>
      </c>
      <c r="C85" s="14" t="s">
        <v>3079</v>
      </c>
      <c r="D85" s="14"/>
    </row>
    <row r="86" customFormat="false" ht="34.5" hidden="false" customHeight="true" outlineLevel="0" collapsed="false">
      <c r="A86" s="62" t="s">
        <v>3080</v>
      </c>
      <c r="B86" s="14" t="s">
        <v>75</v>
      </c>
      <c r="C86" s="14" t="s">
        <v>3081</v>
      </c>
      <c r="D86" s="14"/>
    </row>
    <row r="87" customFormat="false" ht="34.5" hidden="false" customHeight="true" outlineLevel="0" collapsed="false">
      <c r="A87" s="62" t="s">
        <v>3082</v>
      </c>
      <c r="B87" s="14" t="s">
        <v>20</v>
      </c>
      <c r="C87" s="14" t="s">
        <v>3083</v>
      </c>
      <c r="D87" s="14"/>
    </row>
    <row r="88" customFormat="false" ht="34.5" hidden="false" customHeight="true" outlineLevel="0" collapsed="false">
      <c r="A88" s="62" t="s">
        <v>3084</v>
      </c>
      <c r="B88" s="14" t="s">
        <v>75</v>
      </c>
      <c r="C88" s="14" t="s">
        <v>3085</v>
      </c>
      <c r="D88" s="14"/>
    </row>
    <row r="89" customFormat="false" ht="23.25" hidden="false" customHeight="true" outlineLevel="0" collapsed="false">
      <c r="A89" s="62" t="s">
        <v>3086</v>
      </c>
      <c r="B89" s="14" t="s">
        <v>58</v>
      </c>
      <c r="C89" s="14" t="s">
        <v>3087</v>
      </c>
      <c r="D89" s="14"/>
    </row>
    <row r="90" customFormat="false" ht="23.25" hidden="false" customHeight="true" outlineLevel="0" collapsed="false">
      <c r="A90" s="62" t="s">
        <v>3088</v>
      </c>
      <c r="B90" s="14" t="s">
        <v>30</v>
      </c>
      <c r="C90" s="14" t="s">
        <v>3089</v>
      </c>
      <c r="D90" s="14"/>
    </row>
    <row r="91" customFormat="false" ht="23.25" hidden="false" customHeight="true" outlineLevel="0" collapsed="false">
      <c r="A91" s="62" t="s">
        <v>3090</v>
      </c>
      <c r="B91" s="14" t="s">
        <v>68</v>
      </c>
      <c r="C91" s="14" t="s">
        <v>3091</v>
      </c>
      <c r="D91" s="14"/>
    </row>
    <row r="92" customFormat="false" ht="45.75" hidden="false" customHeight="true" outlineLevel="0" collapsed="false">
      <c r="A92" s="62" t="s">
        <v>3092</v>
      </c>
      <c r="B92" s="14" t="s">
        <v>71</v>
      </c>
      <c r="C92" s="14" t="s">
        <v>3093</v>
      </c>
      <c r="D92" s="14"/>
    </row>
    <row r="93" customFormat="false" ht="23.25" hidden="false" customHeight="true" outlineLevel="0" collapsed="false">
      <c r="A93" s="62" t="s">
        <v>2272</v>
      </c>
      <c r="B93" s="14" t="s">
        <v>68</v>
      </c>
      <c r="C93" s="14" t="s">
        <v>3094</v>
      </c>
      <c r="D93" s="14"/>
    </row>
    <row r="94" customFormat="false" ht="34.5" hidden="false" customHeight="true" outlineLevel="0" collapsed="false">
      <c r="A94" s="62" t="s">
        <v>3095</v>
      </c>
      <c r="B94" s="14" t="s">
        <v>75</v>
      </c>
      <c r="C94" s="14" t="s">
        <v>3096</v>
      </c>
      <c r="D94" s="14"/>
    </row>
    <row r="95" customFormat="false" ht="57" hidden="false" customHeight="true" outlineLevel="0" collapsed="false">
      <c r="A95" s="62" t="s">
        <v>3097</v>
      </c>
      <c r="B95" s="14" t="s">
        <v>75</v>
      </c>
      <c r="C95" s="14" t="s">
        <v>3098</v>
      </c>
      <c r="D95" s="14"/>
    </row>
    <row r="96" customFormat="false" ht="23.25" hidden="false" customHeight="true" outlineLevel="0" collapsed="false">
      <c r="A96" s="62" t="s">
        <v>1351</v>
      </c>
      <c r="B96" s="14" t="s">
        <v>62</v>
      </c>
      <c r="C96" s="14" t="s">
        <v>3099</v>
      </c>
      <c r="D96" s="14"/>
    </row>
    <row r="97" customFormat="false" ht="45.75" hidden="false" customHeight="true" outlineLevel="0" collapsed="false">
      <c r="A97" s="62" t="s">
        <v>2080</v>
      </c>
      <c r="B97" s="14" t="s">
        <v>2973</v>
      </c>
      <c r="C97" s="14" t="s">
        <v>3100</v>
      </c>
      <c r="D97" s="14"/>
    </row>
    <row r="98" customFormat="false" ht="57" hidden="false" customHeight="true" outlineLevel="0" collapsed="false">
      <c r="A98" s="62" t="s">
        <v>3101</v>
      </c>
      <c r="B98" s="14" t="s">
        <v>75</v>
      </c>
      <c r="C98" s="14" t="s">
        <v>3102</v>
      </c>
      <c r="D98" s="14"/>
    </row>
    <row r="99" customFormat="false" ht="23.25" hidden="false" customHeight="true" outlineLevel="0" collapsed="false">
      <c r="A99" s="62" t="s">
        <v>2111</v>
      </c>
      <c r="B99" s="14" t="s">
        <v>33</v>
      </c>
      <c r="C99" s="14" t="s">
        <v>3103</v>
      </c>
      <c r="D99" s="14"/>
    </row>
    <row r="100" customFormat="false" ht="23.25" hidden="false" customHeight="true" outlineLevel="0" collapsed="false">
      <c r="A100" s="62" t="s">
        <v>3104</v>
      </c>
      <c r="B100" s="14" t="s">
        <v>68</v>
      </c>
      <c r="C100" s="14" t="s">
        <v>3105</v>
      </c>
      <c r="D100" s="14" t="s">
        <v>3106</v>
      </c>
    </row>
    <row r="101" customFormat="false" ht="23.25" hidden="false" customHeight="true" outlineLevel="0" collapsed="false">
      <c r="A101" s="62" t="s">
        <v>2248</v>
      </c>
      <c r="B101" s="14" t="s">
        <v>2973</v>
      </c>
      <c r="C101" s="14" t="s">
        <v>3107</v>
      </c>
      <c r="D101" s="14" t="s">
        <v>3108</v>
      </c>
    </row>
    <row r="102" customFormat="false" ht="23.25" hidden="false" customHeight="true" outlineLevel="0" collapsed="false">
      <c r="A102" s="62" t="s">
        <v>2821</v>
      </c>
      <c r="B102" s="14" t="s">
        <v>78</v>
      </c>
      <c r="C102" s="14" t="s">
        <v>3109</v>
      </c>
      <c r="D102" s="14"/>
    </row>
    <row r="103" customFormat="false" ht="15" hidden="false" customHeight="true" outlineLevel="0" collapsed="false">
      <c r="A103" s="62" t="s">
        <v>2811</v>
      </c>
      <c r="B103" s="14" t="s">
        <v>78</v>
      </c>
      <c r="C103" s="14" t="s">
        <v>3110</v>
      </c>
      <c r="D103" s="14"/>
    </row>
    <row r="104" customFormat="false" ht="23.25" hidden="false" customHeight="true" outlineLevel="0" collapsed="false">
      <c r="A104" s="62" t="s">
        <v>2816</v>
      </c>
      <c r="B104" s="14" t="s">
        <v>78</v>
      </c>
      <c r="C104" s="14" t="s">
        <v>3111</v>
      </c>
      <c r="D104" s="14"/>
    </row>
    <row r="105" customFormat="false" ht="23.25" hidden="false" customHeight="true" outlineLevel="0" collapsed="false">
      <c r="A105" s="62" t="s">
        <v>3112</v>
      </c>
      <c r="B105" s="14" t="s">
        <v>52</v>
      </c>
      <c r="C105" s="14" t="s">
        <v>3113</v>
      </c>
      <c r="D105" s="14"/>
    </row>
    <row r="106" customFormat="false" ht="23.25" hidden="false" customHeight="true" outlineLevel="0" collapsed="false">
      <c r="A106" s="62" t="s">
        <v>2801</v>
      </c>
      <c r="B106" s="14" t="s">
        <v>78</v>
      </c>
      <c r="C106" s="14" t="s">
        <v>3114</v>
      </c>
      <c r="D106" s="14"/>
    </row>
    <row r="107" customFormat="false" ht="23.25" hidden="false" customHeight="true" outlineLevel="0" collapsed="false">
      <c r="A107" s="62" t="s">
        <v>2217</v>
      </c>
      <c r="B107" s="14" t="s">
        <v>52</v>
      </c>
      <c r="C107" s="14" t="s">
        <v>3115</v>
      </c>
      <c r="D107" s="14"/>
    </row>
    <row r="108" customFormat="false" ht="23.25" hidden="false" customHeight="true" outlineLevel="0" collapsed="false">
      <c r="A108" s="62" t="s">
        <v>3116</v>
      </c>
      <c r="B108" s="14" t="s">
        <v>58</v>
      </c>
      <c r="C108" s="14" t="s">
        <v>3117</v>
      </c>
      <c r="D108" s="14"/>
    </row>
    <row r="109" customFormat="false" ht="34.5" hidden="false" customHeight="true" outlineLevel="0" collapsed="false">
      <c r="A109" s="62" t="s">
        <v>3118</v>
      </c>
      <c r="B109" s="14" t="s">
        <v>20</v>
      </c>
      <c r="C109" s="14" t="s">
        <v>3119</v>
      </c>
      <c r="D109" s="14"/>
    </row>
    <row r="110" customFormat="false" ht="15" hidden="false" customHeight="true" outlineLevel="0" collapsed="false">
      <c r="A110" s="62" t="s">
        <v>602</v>
      </c>
      <c r="B110" s="14" t="s">
        <v>39</v>
      </c>
      <c r="C110" s="14" t="s">
        <v>3120</v>
      </c>
      <c r="D110" s="14"/>
    </row>
    <row r="111" customFormat="false" ht="23.25" hidden="false" customHeight="true" outlineLevel="0" collapsed="false">
      <c r="A111" s="62" t="s">
        <v>158</v>
      </c>
      <c r="B111" s="14" t="s">
        <v>26</v>
      </c>
      <c r="C111" s="14" t="s">
        <v>3121</v>
      </c>
      <c r="D111" s="14"/>
    </row>
    <row r="112" customFormat="false" ht="23.25" hidden="false" customHeight="true" outlineLevel="0" collapsed="false">
      <c r="A112" s="62" t="s">
        <v>3122</v>
      </c>
      <c r="B112" s="14" t="s">
        <v>78</v>
      </c>
      <c r="C112" s="14" t="s">
        <v>3123</v>
      </c>
      <c r="D112" s="14"/>
    </row>
    <row r="113" customFormat="false" ht="23.25" hidden="false" customHeight="true" outlineLevel="0" collapsed="false">
      <c r="A113" s="62" t="s">
        <v>3124</v>
      </c>
      <c r="B113" s="14" t="s">
        <v>78</v>
      </c>
      <c r="C113" s="14" t="s">
        <v>3125</v>
      </c>
      <c r="D113" s="14"/>
    </row>
    <row r="114" customFormat="false" ht="23.25" hidden="false" customHeight="true" outlineLevel="0" collapsed="false">
      <c r="A114" s="62" t="s">
        <v>3126</v>
      </c>
      <c r="B114" s="14" t="s">
        <v>45</v>
      </c>
      <c r="C114" s="14" t="s">
        <v>3127</v>
      </c>
      <c r="D114" s="14"/>
    </row>
    <row r="115" customFormat="false" ht="23.25" hidden="false" customHeight="true" outlineLevel="0" collapsed="false">
      <c r="A115" s="62" t="s">
        <v>3128</v>
      </c>
      <c r="B115" s="14" t="s">
        <v>71</v>
      </c>
      <c r="C115" s="14" t="s">
        <v>3129</v>
      </c>
      <c r="D115" s="14"/>
    </row>
    <row r="116" customFormat="false" ht="15" hidden="false" customHeight="true" outlineLevel="0" collapsed="false">
      <c r="A116" s="62" t="s">
        <v>3130</v>
      </c>
      <c r="B116" s="14" t="s">
        <v>62</v>
      </c>
      <c r="C116" s="14" t="s">
        <v>3131</v>
      </c>
      <c r="D116" s="14"/>
    </row>
    <row r="117" customFormat="false" ht="23.25" hidden="false" customHeight="true" outlineLevel="0" collapsed="false">
      <c r="A117" s="62" t="s">
        <v>3132</v>
      </c>
      <c r="B117" s="14" t="s">
        <v>78</v>
      </c>
      <c r="C117" s="14" t="s">
        <v>3133</v>
      </c>
      <c r="D117" s="14"/>
    </row>
    <row r="118" customFormat="false" ht="45.75" hidden="false" customHeight="true" outlineLevel="0" collapsed="false">
      <c r="A118" s="62" t="s">
        <v>3134</v>
      </c>
      <c r="B118" s="14" t="s">
        <v>75</v>
      </c>
      <c r="C118" s="14" t="s">
        <v>3135</v>
      </c>
      <c r="D118" s="14"/>
    </row>
    <row r="119" customFormat="false" ht="15" hidden="false" customHeight="true" outlineLevel="0" collapsed="false">
      <c r="A119" s="62" t="s">
        <v>3136</v>
      </c>
      <c r="B119" s="14" t="s">
        <v>62</v>
      </c>
      <c r="C119" s="14" t="s">
        <v>3137</v>
      </c>
      <c r="D119" s="14"/>
    </row>
    <row r="120" customFormat="false" ht="23.25" hidden="false" customHeight="true" outlineLevel="0" collapsed="false">
      <c r="A120" s="62" t="s">
        <v>3138</v>
      </c>
      <c r="B120" s="14" t="s">
        <v>78</v>
      </c>
      <c r="C120" s="14" t="s">
        <v>3139</v>
      </c>
      <c r="D120" s="14"/>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4" min="3" style="1" width="16"/>
    <col collapsed="false" customWidth="true" hidden="false" outlineLevel="0" max="5" min="5" style="1" width="14"/>
    <col collapsed="false" customWidth="true" hidden="false" outlineLevel="0" max="6" min="6" style="1" width="42"/>
    <col collapsed="false" customWidth="true" hidden="false" outlineLevel="0" max="8" min="7" style="1" width="30"/>
  </cols>
  <sheetData>
    <row r="1" customFormat="false" ht="31.5" hidden="false" customHeight="true" outlineLevel="0" collapsed="false">
      <c r="A1" s="40" t="s">
        <v>3140</v>
      </c>
      <c r="B1" s="40"/>
      <c r="C1" s="40"/>
      <c r="D1" s="40"/>
      <c r="E1" s="40"/>
      <c r="F1" s="40"/>
      <c r="G1" s="40"/>
      <c r="H1" s="40"/>
    </row>
    <row r="2" customFormat="false" ht="15" hidden="false" customHeight="true" outlineLevel="0" collapsed="false">
      <c r="A2" s="40"/>
      <c r="B2" s="40"/>
      <c r="C2" s="40"/>
      <c r="D2" s="40"/>
      <c r="E2" s="40"/>
      <c r="F2" s="40"/>
      <c r="G2" s="40"/>
      <c r="H2" s="40"/>
    </row>
    <row r="3" customFormat="false" ht="15" hidden="false" customHeight="true" outlineLevel="0" collapsed="false">
      <c r="A3" s="63" t="s">
        <v>3141</v>
      </c>
      <c r="B3" s="63"/>
      <c r="C3" s="63"/>
      <c r="D3" s="63"/>
      <c r="E3" s="63"/>
      <c r="F3" s="63"/>
      <c r="G3" s="63"/>
      <c r="H3" s="63"/>
    </row>
    <row r="4" customFormat="false" ht="15" hidden="false" customHeight="true" outlineLevel="0" collapsed="false"/>
    <row r="5" customFormat="false" ht="24" hidden="false" customHeight="true" outlineLevel="0" collapsed="false">
      <c r="A5" s="44" t="s">
        <v>3142</v>
      </c>
      <c r="B5" s="44"/>
      <c r="C5" s="44"/>
      <c r="D5" s="44"/>
      <c r="E5" s="44"/>
      <c r="F5" s="44"/>
      <c r="G5" s="44"/>
      <c r="H5" s="44"/>
    </row>
    <row r="6" customFormat="false" ht="27.75" hidden="false" customHeight="true" outlineLevel="0" collapsed="false">
      <c r="A6" s="41" t="s">
        <v>116</v>
      </c>
      <c r="B6" s="41" t="s">
        <v>3143</v>
      </c>
      <c r="C6" s="41" t="s">
        <v>3144</v>
      </c>
      <c r="D6" s="41" t="s">
        <v>3145</v>
      </c>
      <c r="E6" s="41" t="s">
        <v>3146</v>
      </c>
      <c r="F6" s="41" t="s">
        <v>3147</v>
      </c>
      <c r="G6" s="41" t="s">
        <v>3148</v>
      </c>
      <c r="H6" s="41" t="s">
        <v>2308</v>
      </c>
    </row>
    <row r="7" customFormat="false" ht="21.75" hidden="false" customHeight="true" outlineLevel="0" collapsed="false">
      <c r="A7" s="42" t="s">
        <v>3149</v>
      </c>
      <c r="B7" s="64" t="n">
        <v>163920</v>
      </c>
      <c r="C7" s="64" t="n">
        <v>186540</v>
      </c>
      <c r="D7" s="51" t="n">
        <f aca="false">B7-C7</f>
        <v>-22620</v>
      </c>
      <c r="E7" s="65" t="n">
        <f aca="false">IF(C7=0,"",D7/ABS(C7))</f>
        <v>-0.121260855580573</v>
      </c>
      <c r="F7" s="65" t="n">
        <f aca="false">B7/$B$15</f>
        <v>0.0143168574183541</v>
      </c>
      <c r="G7" s="42" t="s">
        <v>3150</v>
      </c>
      <c r="H7" s="42" t="s">
        <v>3151</v>
      </c>
    </row>
    <row r="8" customFormat="false" ht="21.75" hidden="false" customHeight="true" outlineLevel="0" collapsed="false">
      <c r="A8" s="42" t="s">
        <v>3152</v>
      </c>
      <c r="B8" s="64" t="n">
        <v>4036815</v>
      </c>
      <c r="C8" s="64" t="n">
        <v>3742815</v>
      </c>
      <c r="D8" s="51" t="n">
        <f aca="false">B8-C8</f>
        <v>294000</v>
      </c>
      <c r="E8" s="65" t="n">
        <f aca="false">IF(C8=0,"",D8/ABS(C8))</f>
        <v>0.0785505027632945</v>
      </c>
      <c r="F8" s="65" t="n">
        <f aca="false">B8/$B$15</f>
        <v>0.352577505974091</v>
      </c>
      <c r="G8" s="42" t="s">
        <v>3153</v>
      </c>
      <c r="H8" s="42" t="s">
        <v>3151</v>
      </c>
    </row>
    <row r="9" customFormat="false" ht="15" hidden="false" customHeight="true" outlineLevel="0" collapsed="false">
      <c r="A9" s="42" t="s">
        <v>3154</v>
      </c>
      <c r="B9" s="64" t="n">
        <v>61785</v>
      </c>
      <c r="C9" s="64" t="n">
        <v>58320</v>
      </c>
      <c r="D9" s="51" t="n">
        <f aca="false">B9-C9</f>
        <v>3465</v>
      </c>
      <c r="E9" s="65" t="n">
        <f aca="false">IF(C9=0,"",D9/ABS(C9))</f>
        <v>0.0594135802469136</v>
      </c>
      <c r="F9" s="65" t="n">
        <f aca="false">B9/$B$15</f>
        <v>0.00539633379449126</v>
      </c>
      <c r="G9" s="42" t="s">
        <v>3155</v>
      </c>
      <c r="H9" s="42" t="s">
        <v>3151</v>
      </c>
    </row>
    <row r="10" customFormat="false" ht="21.75" hidden="false" customHeight="true" outlineLevel="0" collapsed="false">
      <c r="A10" s="42" t="s">
        <v>3156</v>
      </c>
      <c r="B10" s="64" t="n">
        <v>2487310</v>
      </c>
      <c r="C10" s="64" t="n">
        <v>2214670</v>
      </c>
      <c r="D10" s="51" t="n">
        <f aca="false">B10-C10</f>
        <v>272640</v>
      </c>
      <c r="E10" s="65" t="n">
        <f aca="false">IF(C10=0,"",D10/ABS(C10))</f>
        <v>0.12310637702231</v>
      </c>
      <c r="F10" s="65" t="n">
        <f aca="false">B10/$B$15</f>
        <v>0.217242939392669</v>
      </c>
      <c r="G10" s="42" t="s">
        <v>3157</v>
      </c>
      <c r="H10" s="42" t="s">
        <v>3151</v>
      </c>
    </row>
    <row r="11" customFormat="false" ht="15" hidden="false" customHeight="true" outlineLevel="0" collapsed="false">
      <c r="A11" s="42" t="s">
        <v>3158</v>
      </c>
      <c r="B11" s="64" t="n">
        <v>2978645</v>
      </c>
      <c r="C11" s="64" t="n">
        <v>3086425</v>
      </c>
      <c r="D11" s="51" t="n">
        <f aca="false">B11-C11</f>
        <v>-107780</v>
      </c>
      <c r="E11" s="65" t="n">
        <f aca="false">IF(C11=0,"",D11/ABS(C11))</f>
        <v>-0.0349206606348769</v>
      </c>
      <c r="F11" s="65" t="n">
        <f aca="false">B11/$B$15</f>
        <v>0.260156391928339</v>
      </c>
      <c r="G11" s="42" t="s">
        <v>3159</v>
      </c>
      <c r="H11" s="42" t="s">
        <v>3151</v>
      </c>
    </row>
    <row r="12" customFormat="false" ht="21.75" hidden="false" customHeight="true" outlineLevel="0" collapsed="false">
      <c r="A12" s="42" t="s">
        <v>3160</v>
      </c>
      <c r="B12" s="64" t="n">
        <v>356940</v>
      </c>
      <c r="C12" s="64" t="n">
        <v>402180</v>
      </c>
      <c r="D12" s="51" t="n">
        <f aca="false">B12-C12</f>
        <v>-45240</v>
      </c>
      <c r="E12" s="65" t="n">
        <f aca="false">IF(C12=0,"",D12/ABS(C12))</f>
        <v>-0.112486946143518</v>
      </c>
      <c r="F12" s="65" t="n">
        <f aca="false">B12/$B$15</f>
        <v>0.0311753238586341</v>
      </c>
      <c r="G12" s="42" t="s">
        <v>3161</v>
      </c>
      <c r="H12" s="42" t="s">
        <v>3151</v>
      </c>
    </row>
    <row r="13" customFormat="false" ht="15" hidden="false" customHeight="true" outlineLevel="0" collapsed="false">
      <c r="A13" s="42" t="s">
        <v>3162</v>
      </c>
      <c r="B13" s="64" t="n">
        <v>1292445</v>
      </c>
      <c r="C13" s="64" t="n">
        <v>1127390</v>
      </c>
      <c r="D13" s="51" t="n">
        <f aca="false">B13-C13</f>
        <v>165055</v>
      </c>
      <c r="E13" s="65" t="n">
        <f aca="false">IF(C13=0,"",D13/ABS(C13))</f>
        <v>0.146404527270953</v>
      </c>
      <c r="F13" s="65" t="n">
        <f aca="false">B13/$B$15</f>
        <v>0.112882813482581</v>
      </c>
      <c r="G13" s="42" t="s">
        <v>3163</v>
      </c>
      <c r="H13" s="42" t="s">
        <v>3151</v>
      </c>
    </row>
    <row r="14" customFormat="false" ht="15" hidden="false" customHeight="true" outlineLevel="0" collapsed="false">
      <c r="A14" s="42" t="s">
        <v>3164</v>
      </c>
      <c r="B14" s="64" t="n">
        <v>71580</v>
      </c>
      <c r="C14" s="64" t="n">
        <v>64215</v>
      </c>
      <c r="D14" s="51" t="n">
        <f aca="false">B14-C14</f>
        <v>7365</v>
      </c>
      <c r="E14" s="65" t="n">
        <f aca="false">IF(C14=0,"",D14/ABS(C14))</f>
        <v>0.114692828778323</v>
      </c>
      <c r="F14" s="65" t="n">
        <f aca="false">B14/$B$15</f>
        <v>0.00625183415084057</v>
      </c>
      <c r="G14" s="42" t="s">
        <v>3165</v>
      </c>
      <c r="H14" s="42" t="s">
        <v>3151</v>
      </c>
    </row>
    <row r="15" customFormat="false" ht="15" hidden="false" customHeight="true" outlineLevel="0" collapsed="false">
      <c r="A15" s="66" t="s">
        <v>3166</v>
      </c>
      <c r="B15" s="67" t="n">
        <v>11449440</v>
      </c>
      <c r="C15" s="67" t="n">
        <v>10882555</v>
      </c>
      <c r="D15" s="67" t="n">
        <f aca="false">B15-C15</f>
        <v>566885</v>
      </c>
      <c r="E15" s="68" t="n">
        <f aca="false">IF(C15=0,"",D15/ABS(C15))</f>
        <v>0.0520911679288549</v>
      </c>
      <c r="F15" s="68" t="n">
        <f aca="false">B15/$B$15</f>
        <v>1</v>
      </c>
      <c r="G15" s="66" t="s">
        <v>3167</v>
      </c>
      <c r="H15" s="66" t="s">
        <v>3151</v>
      </c>
    </row>
    <row r="16" customFormat="false" ht="15" hidden="false" customHeight="true" outlineLevel="0" collapsed="false">
      <c r="A16" s="42" t="s">
        <v>3168</v>
      </c>
      <c r="B16" s="64" t="n">
        <v>4860050</v>
      </c>
      <c r="C16" s="64" t="n">
        <v>4216785</v>
      </c>
      <c r="D16" s="51" t="n">
        <f aca="false">B16-C16</f>
        <v>643265</v>
      </c>
      <c r="E16" s="65" t="n">
        <f aca="false">IF(C16=0,"",D16/ABS(C16))</f>
        <v>0.152548683416394</v>
      </c>
      <c r="F16" s="65" t="n">
        <f aca="false">B16/$B$15</f>
        <v>0.424479275842312</v>
      </c>
      <c r="G16" s="42" t="s">
        <v>3169</v>
      </c>
      <c r="H16" s="42" t="s">
        <v>3151</v>
      </c>
    </row>
    <row r="17" customFormat="false" ht="15" hidden="false" customHeight="true" outlineLevel="0" collapsed="false">
      <c r="A17" s="42" t="s">
        <v>3170</v>
      </c>
      <c r="B17" s="64" t="n">
        <v>157820</v>
      </c>
      <c r="C17" s="64" t="n">
        <v>142360</v>
      </c>
      <c r="D17" s="51" t="n">
        <f aca="false">B17-C17</f>
        <v>15460</v>
      </c>
      <c r="E17" s="65" t="n">
        <f aca="false">IF(C17=0,"",D17/ABS(C17))</f>
        <v>0.10859792076426</v>
      </c>
      <c r="F17" s="65" t="n">
        <f aca="false">B17/$B$15</f>
        <v>0.013784080269428</v>
      </c>
      <c r="G17" s="42" t="s">
        <v>3171</v>
      </c>
      <c r="H17" s="42" t="s">
        <v>3151</v>
      </c>
    </row>
    <row r="18" customFormat="false" ht="15" hidden="false" customHeight="true" outlineLevel="0" collapsed="false">
      <c r="A18" s="42" t="s">
        <v>3172</v>
      </c>
      <c r="B18" s="64" t="n">
        <v>664315</v>
      </c>
      <c r="C18" s="64" t="n">
        <v>618940</v>
      </c>
      <c r="D18" s="51" t="n">
        <f aca="false">B18-C18</f>
        <v>45375</v>
      </c>
      <c r="E18" s="65" t="n">
        <f aca="false">IF(C18=0,"",D18/ABS(C18))</f>
        <v>0.0733108217274695</v>
      </c>
      <c r="F18" s="65" t="n">
        <f aca="false">B18/$B$15</f>
        <v>0.0580216150309535</v>
      </c>
      <c r="G18" s="42" t="s">
        <v>3173</v>
      </c>
      <c r="H18" s="42" t="s">
        <v>3151</v>
      </c>
    </row>
    <row r="19" customFormat="false" ht="15" hidden="false" customHeight="true" outlineLevel="0" collapsed="false">
      <c r="A19" s="42" t="s">
        <v>3174</v>
      </c>
      <c r="B19" s="64" t="n">
        <v>2126480</v>
      </c>
      <c r="C19" s="64" t="n">
        <v>2405130</v>
      </c>
      <c r="D19" s="51" t="n">
        <f aca="false">B19-C19</f>
        <v>-278650</v>
      </c>
      <c r="E19" s="65" t="n">
        <f aca="false">IF(C19=0,"",D19/ABS(C19))</f>
        <v>-0.11585652334801</v>
      </c>
      <c r="F19" s="65" t="n">
        <f aca="false">B19/$B$15</f>
        <v>0.185727860925949</v>
      </c>
      <c r="G19" s="42" t="s">
        <v>3175</v>
      </c>
      <c r="H19" s="42" t="s">
        <v>3151</v>
      </c>
    </row>
    <row r="20" customFormat="false" ht="15" hidden="false" customHeight="true" outlineLevel="0" collapsed="false">
      <c r="A20" s="42" t="s">
        <v>3176</v>
      </c>
      <c r="B20" s="64" t="n">
        <v>2694580</v>
      </c>
      <c r="C20" s="64" t="n">
        <v>2563215</v>
      </c>
      <c r="D20" s="51" t="n">
        <f aca="false">B20-C20</f>
        <v>131365</v>
      </c>
      <c r="E20" s="65" t="n">
        <f aca="false">IF(C20=0,"",D20/ABS(C20))</f>
        <v>0.0512500902187292</v>
      </c>
      <c r="F20" s="65" t="n">
        <f aca="false">B20/$B$15</f>
        <v>0.235346008189047</v>
      </c>
      <c r="G20" s="42" t="s">
        <v>3177</v>
      </c>
      <c r="H20" s="42" t="s">
        <v>3151</v>
      </c>
    </row>
    <row r="21" customFormat="false" ht="21.75" hidden="false" customHeight="true" outlineLevel="0" collapsed="false">
      <c r="A21" s="42" t="s">
        <v>3178</v>
      </c>
      <c r="B21" s="64" t="n">
        <v>827935</v>
      </c>
      <c r="C21" s="64" t="n">
        <v>794620</v>
      </c>
      <c r="D21" s="51" t="n">
        <f aca="false">B21-C21</f>
        <v>33315</v>
      </c>
      <c r="E21" s="65" t="n">
        <f aca="false">IF(C21=0,"",D21/ABS(C21))</f>
        <v>0.0419257003347512</v>
      </c>
      <c r="F21" s="65" t="n">
        <f aca="false">B21/$B$15</f>
        <v>0.0723122702944423</v>
      </c>
      <c r="G21" s="42" t="s">
        <v>3179</v>
      </c>
      <c r="H21" s="42" t="s">
        <v>3151</v>
      </c>
    </row>
    <row r="22" customFormat="false" ht="15" hidden="false" customHeight="true" outlineLevel="0" collapsed="false">
      <c r="A22" s="42" t="s">
        <v>3180</v>
      </c>
      <c r="B22" s="64" t="n">
        <v>118260</v>
      </c>
      <c r="C22" s="64" t="n">
        <v>141505</v>
      </c>
      <c r="D22" s="51" t="n">
        <f aca="false">B22-C22</f>
        <v>-23245</v>
      </c>
      <c r="E22" s="65" t="n">
        <f aca="false">IF(C22=0,"",D22/ABS(C22))</f>
        <v>-0.164269813787499</v>
      </c>
      <c r="F22" s="65" t="n">
        <f aca="false">B22/$B$15</f>
        <v>0.0103288894478682</v>
      </c>
      <c r="G22" s="42" t="s">
        <v>3165</v>
      </c>
      <c r="H22" s="42" t="s">
        <v>3151</v>
      </c>
    </row>
    <row r="23" customFormat="false" ht="15" hidden="false" customHeight="true" outlineLevel="0" collapsed="false">
      <c r="A23" s="66" t="s">
        <v>3181</v>
      </c>
      <c r="B23" s="67" t="n">
        <v>11449440</v>
      </c>
      <c r="C23" s="67" t="n">
        <v>10882555</v>
      </c>
      <c r="D23" s="67" t="n">
        <f aca="false">B23-C23</f>
        <v>566885</v>
      </c>
      <c r="E23" s="68" t="n">
        <f aca="false">IF(C23=0,"",D23/ABS(C23))</f>
        <v>0.0520911679288549</v>
      </c>
      <c r="F23" s="68" t="n">
        <f aca="false">B23/$B$15</f>
        <v>1</v>
      </c>
      <c r="G23" s="66" t="s">
        <v>3182</v>
      </c>
      <c r="H23" s="66" t="s">
        <v>3151</v>
      </c>
    </row>
    <row r="24" customFormat="false" ht="15" hidden="false" customHeight="true" outlineLevel="0" collapsed="false"/>
    <row r="25" customFormat="false" ht="24" hidden="false" customHeight="true" outlineLevel="0" collapsed="false">
      <c r="A25" s="44" t="s">
        <v>3183</v>
      </c>
      <c r="B25" s="44"/>
      <c r="C25" s="44"/>
      <c r="D25" s="44"/>
      <c r="E25" s="44"/>
      <c r="F25" s="44"/>
      <c r="G25" s="44"/>
      <c r="H25" s="44"/>
    </row>
    <row r="26" customFormat="false" ht="27.75" hidden="false" customHeight="true" outlineLevel="0" collapsed="false">
      <c r="A26" s="41" t="s">
        <v>116</v>
      </c>
      <c r="B26" s="41" t="s">
        <v>3143</v>
      </c>
      <c r="C26" s="41" t="s">
        <v>3144</v>
      </c>
      <c r="D26" s="41" t="s">
        <v>3145</v>
      </c>
      <c r="E26" s="41" t="s">
        <v>3146</v>
      </c>
      <c r="F26" s="41" t="s">
        <v>3184</v>
      </c>
      <c r="G26" s="41" t="s">
        <v>3148</v>
      </c>
      <c r="H26" s="41" t="s">
        <v>2308</v>
      </c>
    </row>
    <row r="27" customFormat="false" ht="15" hidden="false" customHeight="true" outlineLevel="0" collapsed="false">
      <c r="A27" s="42" t="s">
        <v>3185</v>
      </c>
      <c r="B27" s="64" t="n">
        <v>13426380</v>
      </c>
      <c r="C27" s="64" t="n">
        <v>12743915</v>
      </c>
      <c r="D27" s="51" t="n">
        <f aca="false">B27-C27</f>
        <v>682465</v>
      </c>
      <c r="E27" s="65" t="n">
        <f aca="false">IF(C27=0,"",D27/ABS(C27))</f>
        <v>0.0535522247284292</v>
      </c>
      <c r="F27" s="65" t="n">
        <f aca="false">B27/$B$27</f>
        <v>1</v>
      </c>
      <c r="G27" s="42" t="s">
        <v>3186</v>
      </c>
      <c r="H27" s="42" t="s">
        <v>3187</v>
      </c>
    </row>
    <row r="28" customFormat="false" ht="21.75" hidden="false" customHeight="true" outlineLevel="0" collapsed="false">
      <c r="A28" s="42" t="s">
        <v>3188</v>
      </c>
      <c r="B28" s="64" t="n">
        <v>186420</v>
      </c>
      <c r="C28" s="64" t="n">
        <v>-94730</v>
      </c>
      <c r="D28" s="51" t="n">
        <f aca="false">B28-C28</f>
        <v>281150</v>
      </c>
      <c r="E28" s="65" t="n">
        <f aca="false">IF(C28=0,"",D28/ABS(C28))</f>
        <v>2.96790879341286</v>
      </c>
      <c r="F28" s="65" t="n">
        <f aca="false">B28/$B$27</f>
        <v>0.0138846062751092</v>
      </c>
      <c r="G28" s="42" t="s">
        <v>3189</v>
      </c>
      <c r="H28" s="42" t="s">
        <v>3187</v>
      </c>
    </row>
    <row r="29" customFormat="false" ht="15" hidden="false" customHeight="true" outlineLevel="0" collapsed="false">
      <c r="A29" s="42" t="s">
        <v>3190</v>
      </c>
      <c r="B29" s="64" t="n">
        <v>241655</v>
      </c>
      <c r="C29" s="64" t="n">
        <v>318240</v>
      </c>
      <c r="D29" s="51" t="n">
        <f aca="false">B29-C29</f>
        <v>-76585</v>
      </c>
      <c r="E29" s="65" t="n">
        <f aca="false">IF(C29=0,"",D29/ABS(C29))</f>
        <v>-0.240651709401709</v>
      </c>
      <c r="F29" s="65" t="n">
        <f aca="false">B29/$B$27</f>
        <v>0.0179985223120454</v>
      </c>
      <c r="G29" s="42" t="s">
        <v>3191</v>
      </c>
      <c r="H29" s="42" t="s">
        <v>3187</v>
      </c>
    </row>
    <row r="30" customFormat="false" ht="15" hidden="false" customHeight="true" outlineLevel="0" collapsed="false">
      <c r="A30" s="66" t="s">
        <v>3192</v>
      </c>
      <c r="B30" s="67" t="n">
        <v>13854455</v>
      </c>
      <c r="C30" s="67" t="n">
        <v>12967425</v>
      </c>
      <c r="D30" s="67" t="n">
        <f aca="false">B30-C30</f>
        <v>887030</v>
      </c>
      <c r="E30" s="68" t="n">
        <f aca="false">IF(C30=0,"",D30/ABS(C30))</f>
        <v>0.0684044827712518</v>
      </c>
      <c r="F30" s="68" t="n">
        <f aca="false">B30/$B$27</f>
        <v>1.03188312858715</v>
      </c>
      <c r="G30" s="66" t="s">
        <v>3193</v>
      </c>
      <c r="H30" s="66" t="s">
        <v>3187</v>
      </c>
    </row>
    <row r="31" customFormat="false" ht="15" hidden="false" customHeight="true" outlineLevel="0" collapsed="false">
      <c r="A31" s="42" t="s">
        <v>2411</v>
      </c>
      <c r="B31" s="64" t="n">
        <v>5912640</v>
      </c>
      <c r="C31" s="64" t="n">
        <v>5487310</v>
      </c>
      <c r="D31" s="51" t="n">
        <f aca="false">B31-C31</f>
        <v>425330</v>
      </c>
      <c r="E31" s="65" t="n">
        <f aca="false">IF(C31=0,"",D31/ABS(C31))</f>
        <v>0.0775115675986959</v>
      </c>
      <c r="F31" s="65" t="n">
        <f aca="false">B31/$B$27</f>
        <v>0.440374844150099</v>
      </c>
      <c r="G31" s="42" t="s">
        <v>3194</v>
      </c>
      <c r="H31" s="42" t="s">
        <v>3187</v>
      </c>
    </row>
    <row r="32" customFormat="false" ht="21.75" hidden="false" customHeight="true" outlineLevel="0" collapsed="false">
      <c r="A32" s="42" t="s">
        <v>3195</v>
      </c>
      <c r="B32" s="64" t="n">
        <v>2861475</v>
      </c>
      <c r="C32" s="64" t="n">
        <v>2702890</v>
      </c>
      <c r="D32" s="51" t="n">
        <f aca="false">B32-C32</f>
        <v>158585</v>
      </c>
      <c r="E32" s="65" t="n">
        <f aca="false">IF(C32=0,"",D32/ABS(C32))</f>
        <v>0.0586723840037885</v>
      </c>
      <c r="F32" s="65" t="n">
        <f aca="false">B32/$B$27</f>
        <v>0.213123343745671</v>
      </c>
      <c r="G32" s="42" t="s">
        <v>3196</v>
      </c>
      <c r="H32" s="42" t="s">
        <v>3187</v>
      </c>
    </row>
    <row r="33" customFormat="false" ht="15" hidden="false" customHeight="true" outlineLevel="0" collapsed="false">
      <c r="A33" s="42" t="s">
        <v>3197</v>
      </c>
      <c r="B33" s="64" t="n">
        <v>318760</v>
      </c>
      <c r="C33" s="64" t="n">
        <v>309415</v>
      </c>
      <c r="D33" s="51" t="n">
        <f aca="false">B33-C33</f>
        <v>9345</v>
      </c>
      <c r="E33" s="65" t="n">
        <f aca="false">IF(C33=0,"",D33/ABS(C33))</f>
        <v>0.0302021556808817</v>
      </c>
      <c r="F33" s="65" t="n">
        <f aca="false">B33/$B$27</f>
        <v>0.0237413211900751</v>
      </c>
      <c r="G33" s="42" t="s">
        <v>3198</v>
      </c>
      <c r="H33" s="42" t="s">
        <v>3187</v>
      </c>
    </row>
    <row r="34" customFormat="false" ht="15" hidden="false" customHeight="true" outlineLevel="0" collapsed="false">
      <c r="A34" s="42" t="s">
        <v>3199</v>
      </c>
      <c r="B34" s="64" t="n">
        <v>3017925</v>
      </c>
      <c r="C34" s="64" t="n">
        <v>2846160</v>
      </c>
      <c r="D34" s="51" t="n">
        <f aca="false">B34-C34</f>
        <v>171765</v>
      </c>
      <c r="E34" s="65" t="n">
        <f aca="false">IF(C34=0,"",D34/ABS(C34))</f>
        <v>0.0603497343789527</v>
      </c>
      <c r="F34" s="65" t="n">
        <f aca="false">B34/$B$27</f>
        <v>0.224775777238541</v>
      </c>
      <c r="G34" s="42" t="s">
        <v>3200</v>
      </c>
      <c r="H34" s="42" t="s">
        <v>3187</v>
      </c>
    </row>
    <row r="35" customFormat="false" ht="15" hidden="false" customHeight="true" outlineLevel="0" collapsed="false">
      <c r="A35" s="42" t="s">
        <v>3201</v>
      </c>
      <c r="B35" s="64" t="n">
        <v>548230</v>
      </c>
      <c r="C35" s="64" t="n">
        <v>521685</v>
      </c>
      <c r="D35" s="51" t="n">
        <f aca="false">B35-C35</f>
        <v>26545</v>
      </c>
      <c r="E35" s="65" t="n">
        <f aca="false">IF(C35=0,"",D35/ABS(C35))</f>
        <v>0.0508831957982307</v>
      </c>
      <c r="F35" s="65" t="n">
        <f aca="false">B35/$B$27</f>
        <v>0.0408323017820142</v>
      </c>
      <c r="G35" s="42" t="s">
        <v>3202</v>
      </c>
      <c r="H35" s="42" t="s">
        <v>3187</v>
      </c>
    </row>
    <row r="36" customFormat="false" ht="15" hidden="false" customHeight="true" outlineLevel="0" collapsed="false">
      <c r="A36" s="42" t="s">
        <v>3203</v>
      </c>
      <c r="B36" s="64" t="n">
        <v>96315</v>
      </c>
      <c r="C36" s="64" t="n">
        <v>104870</v>
      </c>
      <c r="D36" s="51" t="n">
        <f aca="false">B36-C36</f>
        <v>-8555</v>
      </c>
      <c r="E36" s="65" t="n">
        <f aca="false">IF(C36=0,"",D36/ABS(C36))</f>
        <v>-0.0815771908076666</v>
      </c>
      <c r="F36" s="65" t="n">
        <f aca="false">B36/$B$27</f>
        <v>0.00717356428166043</v>
      </c>
      <c r="G36" s="42" t="s">
        <v>3204</v>
      </c>
      <c r="H36" s="42" t="s">
        <v>3187</v>
      </c>
    </row>
    <row r="37" customFormat="false" ht="15" hidden="false" customHeight="true" outlineLevel="0" collapsed="false">
      <c r="A37" s="66" t="s">
        <v>3205</v>
      </c>
      <c r="B37" s="67" t="n">
        <v>12755345</v>
      </c>
      <c r="C37" s="67" t="n">
        <v>11972330</v>
      </c>
      <c r="D37" s="67" t="n">
        <f aca="false">B37-C37</f>
        <v>783015</v>
      </c>
      <c r="E37" s="68" t="n">
        <f aca="false">IF(C37=0,"",D37/ABS(C37))</f>
        <v>0.0654020562413498</v>
      </c>
      <c r="F37" s="68" t="n">
        <f aca="false">B37/$B$27</f>
        <v>0.95002115238806</v>
      </c>
      <c r="G37" s="66" t="s">
        <v>3206</v>
      </c>
      <c r="H37" s="66" t="s">
        <v>3187</v>
      </c>
    </row>
    <row r="38" customFormat="false" ht="15" hidden="false" customHeight="true" outlineLevel="0" collapsed="false">
      <c r="A38" s="66" t="s">
        <v>3029</v>
      </c>
      <c r="B38" s="67" t="n">
        <v>1099110</v>
      </c>
      <c r="C38" s="67" t="n">
        <v>995095</v>
      </c>
      <c r="D38" s="67" t="n">
        <f aca="false">B38-C38</f>
        <v>104015</v>
      </c>
      <c r="E38" s="68" t="n">
        <f aca="false">IF(C38=0,"",D38/ABS(C38))</f>
        <v>0.10452770840975</v>
      </c>
      <c r="F38" s="68" t="n">
        <f aca="false">B38/$B$27</f>
        <v>0.0818619761990946</v>
      </c>
      <c r="G38" s="66" t="s">
        <v>3207</v>
      </c>
      <c r="H38" s="66" t="s">
        <v>3187</v>
      </c>
    </row>
    <row r="39" customFormat="false" ht="21.75" hidden="false" customHeight="true" outlineLevel="0" collapsed="false">
      <c r="A39" s="42" t="s">
        <v>3208</v>
      </c>
      <c r="B39" s="64" t="n">
        <v>162840</v>
      </c>
      <c r="C39" s="64" t="n">
        <v>138575</v>
      </c>
      <c r="D39" s="51" t="n">
        <f aca="false">B39-C39</f>
        <v>24265</v>
      </c>
      <c r="E39" s="65" t="n">
        <f aca="false">IF(C39=0,"",D39/ABS(C39))</f>
        <v>0.175103734439834</v>
      </c>
      <c r="F39" s="65" t="n">
        <f aca="false">B39/$B$27</f>
        <v>0.0121283622242183</v>
      </c>
      <c r="G39" s="42" t="s">
        <v>3209</v>
      </c>
      <c r="H39" s="42" t="s">
        <v>3187</v>
      </c>
    </row>
    <row r="40" customFormat="false" ht="15" hidden="false" customHeight="true" outlineLevel="0" collapsed="false">
      <c r="A40" s="42" t="s">
        <v>3210</v>
      </c>
      <c r="B40" s="64" t="n">
        <v>31260</v>
      </c>
      <c r="C40" s="64" t="n">
        <v>12480</v>
      </c>
      <c r="D40" s="51" t="n">
        <f aca="false">B40-C40</f>
        <v>18780</v>
      </c>
      <c r="E40" s="65" t="n">
        <f aca="false">IF(C40=0,"",D40/ABS(C40))</f>
        <v>1.50480769230769</v>
      </c>
      <c r="F40" s="65" t="n">
        <f aca="false">B40/$B$27</f>
        <v>0.00232825229138457</v>
      </c>
      <c r="G40" s="42" t="s">
        <v>3211</v>
      </c>
      <c r="H40" s="42" t="s">
        <v>3187</v>
      </c>
    </row>
    <row r="41" customFormat="false" ht="15" hidden="false" customHeight="true" outlineLevel="0" collapsed="false">
      <c r="A41" s="66" t="s">
        <v>3212</v>
      </c>
      <c r="B41" s="67" t="n">
        <v>905010</v>
      </c>
      <c r="C41" s="67" t="n">
        <v>844040</v>
      </c>
      <c r="D41" s="67" t="n">
        <f aca="false">B41-C41</f>
        <v>60970</v>
      </c>
      <c r="E41" s="68" t="n">
        <f aca="false">IF(C41=0,"",D41/ABS(C41))</f>
        <v>0.0722359129899057</v>
      </c>
      <c r="F41" s="68" t="n">
        <f aca="false">B41/$B$27</f>
        <v>0.0674053616834918</v>
      </c>
      <c r="G41" s="66" t="s">
        <v>3213</v>
      </c>
      <c r="H41" s="66" t="s">
        <v>3187</v>
      </c>
    </row>
    <row r="42" customFormat="false" ht="15" hidden="false" customHeight="true" outlineLevel="0" collapsed="false">
      <c r="A42" s="42" t="s">
        <v>3214</v>
      </c>
      <c r="B42" s="64" t="n">
        <v>261745</v>
      </c>
      <c r="C42" s="64" t="n">
        <v>247930</v>
      </c>
      <c r="D42" s="51" t="n">
        <f aca="false">B42-C42</f>
        <v>13815</v>
      </c>
      <c r="E42" s="65" t="n">
        <f aca="false">IF(C42=0,"",D42/ABS(C42))</f>
        <v>0.0557213729681765</v>
      </c>
      <c r="F42" s="65" t="n">
        <f aca="false">B42/$B$27</f>
        <v>0.0194948303265661</v>
      </c>
      <c r="G42" s="42" t="s">
        <v>3215</v>
      </c>
      <c r="H42" s="42" t="s">
        <v>3187</v>
      </c>
    </row>
    <row r="43" customFormat="false" ht="15" hidden="false" customHeight="true" outlineLevel="0" collapsed="false">
      <c r="A43" s="66" t="s">
        <v>3216</v>
      </c>
      <c r="B43" s="67" t="n">
        <v>643265</v>
      </c>
      <c r="C43" s="67" t="n">
        <v>596110</v>
      </c>
      <c r="D43" s="67" t="n">
        <f aca="false">B43-C43</f>
        <v>47155</v>
      </c>
      <c r="E43" s="68" t="n">
        <f aca="false">IF(C43=0,"",D43/ABS(C43))</f>
        <v>0.0791045276878429</v>
      </c>
      <c r="F43" s="68" t="n">
        <f aca="false">B43/$B$27</f>
        <v>0.0479105313569257</v>
      </c>
      <c r="G43" s="66" t="s">
        <v>3217</v>
      </c>
      <c r="H43" s="66" t="s">
        <v>3187</v>
      </c>
    </row>
    <row r="44" customFormat="false" ht="15" hidden="false" customHeight="true" outlineLevel="0" collapsed="false"/>
    <row r="45" customFormat="false" ht="15" hidden="false" customHeight="true" outlineLevel="0" collapsed="false"/>
    <row r="46" customFormat="false" ht="24" hidden="false" customHeight="true" outlineLevel="0" collapsed="false">
      <c r="A46" s="44" t="s">
        <v>3218</v>
      </c>
      <c r="B46" s="44"/>
      <c r="C46" s="44"/>
      <c r="D46" s="44"/>
      <c r="E46" s="44"/>
      <c r="F46" s="44"/>
      <c r="G46" s="44"/>
      <c r="H46" s="44"/>
    </row>
    <row r="47" customFormat="false" ht="27.75" hidden="false" customHeight="true" outlineLevel="0" collapsed="false">
      <c r="A47" s="41" t="s">
        <v>116</v>
      </c>
      <c r="B47" s="41" t="s">
        <v>3143</v>
      </c>
      <c r="C47" s="41" t="s">
        <v>3219</v>
      </c>
      <c r="D47" s="41" t="s">
        <v>3220</v>
      </c>
      <c r="E47" s="41" t="s">
        <v>3221</v>
      </c>
      <c r="F47" s="41" t="s">
        <v>2387</v>
      </c>
      <c r="G47" s="41" t="s">
        <v>2386</v>
      </c>
      <c r="H47" s="41" t="s">
        <v>2308</v>
      </c>
    </row>
    <row r="48" customFormat="false" ht="15" hidden="false" customHeight="true" outlineLevel="0" collapsed="false">
      <c r="A48" s="42" t="s">
        <v>3216</v>
      </c>
      <c r="B48" s="64" t="n">
        <v>643265</v>
      </c>
      <c r="C48" s="42" t="s">
        <v>3222</v>
      </c>
      <c r="D48" s="42" t="s">
        <v>3223</v>
      </c>
      <c r="E48" s="65" t="n">
        <f aca="false">IF($B$54=0,"",B48/$B$54)</f>
        <v>0.495566392407014</v>
      </c>
      <c r="F48" s="42" t="s">
        <v>3224</v>
      </c>
      <c r="G48" s="42" t="s">
        <v>3216</v>
      </c>
      <c r="H48" s="42" t="s">
        <v>3225</v>
      </c>
    </row>
    <row r="49" customFormat="false" ht="21.75" hidden="false" customHeight="true" outlineLevel="0" collapsed="false">
      <c r="A49" s="42" t="s">
        <v>3226</v>
      </c>
      <c r="B49" s="64" t="n">
        <v>640325</v>
      </c>
      <c r="C49" s="42" t="s">
        <v>3222</v>
      </c>
      <c r="D49" s="42" t="s">
        <v>3227</v>
      </c>
      <c r="E49" s="65" t="n">
        <f aca="false">IF($B$54=0,"",B49/$B$54)</f>
        <v>0.493301439092786</v>
      </c>
      <c r="F49" s="42" t="s">
        <v>3228</v>
      </c>
      <c r="G49" s="42" t="s">
        <v>3229</v>
      </c>
      <c r="H49" s="42" t="s">
        <v>3225</v>
      </c>
    </row>
    <row r="50" customFormat="false" ht="15" hidden="false" customHeight="true" outlineLevel="0" collapsed="false">
      <c r="A50" s="42" t="s">
        <v>3230</v>
      </c>
      <c r="B50" s="64" t="n">
        <v>-272640</v>
      </c>
      <c r="C50" s="42" t="s">
        <v>102</v>
      </c>
      <c r="D50" s="42" t="s">
        <v>3231</v>
      </c>
      <c r="E50" s="65" t="n">
        <f aca="false">IF($B$54=0,"",B50/$B$54)</f>
        <v>-0.210039752241842</v>
      </c>
      <c r="F50" s="42" t="s">
        <v>3232</v>
      </c>
      <c r="G50" s="42" t="s">
        <v>3233</v>
      </c>
      <c r="H50" s="42" t="s">
        <v>3225</v>
      </c>
    </row>
    <row r="51" customFormat="false" ht="15" hidden="false" customHeight="true" outlineLevel="0" collapsed="false">
      <c r="A51" s="42" t="s">
        <v>3234</v>
      </c>
      <c r="B51" s="64" t="n">
        <v>107780</v>
      </c>
      <c r="C51" s="42" t="s">
        <v>3222</v>
      </c>
      <c r="D51" s="42" t="s">
        <v>3235</v>
      </c>
      <c r="E51" s="65" t="n">
        <f aca="false">IF($B$54=0,"",B51/$B$54)</f>
        <v>0.0830328803426705</v>
      </c>
      <c r="F51" s="42" t="s">
        <v>3236</v>
      </c>
      <c r="G51" s="42" t="s">
        <v>3237</v>
      </c>
      <c r="H51" s="42" t="s">
        <v>3225</v>
      </c>
    </row>
    <row r="52" customFormat="false" ht="15" hidden="false" customHeight="true" outlineLevel="0" collapsed="false">
      <c r="A52" s="42" t="s">
        <v>3238</v>
      </c>
      <c r="B52" s="64" t="n">
        <v>131365</v>
      </c>
      <c r="C52" s="42" t="s">
        <v>3222</v>
      </c>
      <c r="D52" s="42" t="s">
        <v>3235</v>
      </c>
      <c r="E52" s="65" t="n">
        <f aca="false">IF($B$54=0,"",B52/$B$54)</f>
        <v>0.101202582354935</v>
      </c>
      <c r="F52" s="42" t="s">
        <v>3239</v>
      </c>
      <c r="G52" s="42" t="s">
        <v>3240</v>
      </c>
      <c r="H52" s="42" t="s">
        <v>3225</v>
      </c>
    </row>
    <row r="53" customFormat="false" ht="15" hidden="false" customHeight="true" outlineLevel="0" collapsed="false">
      <c r="A53" s="42" t="s">
        <v>3241</v>
      </c>
      <c r="B53" s="64" t="n">
        <v>47945</v>
      </c>
      <c r="C53" s="42" t="s">
        <v>3242</v>
      </c>
      <c r="D53" s="42" t="s">
        <v>3243</v>
      </c>
      <c r="E53" s="65" t="n">
        <f aca="false">IF($B$54=0,"",B53/$B$54)</f>
        <v>0.0369364580444362</v>
      </c>
      <c r="F53" s="42" t="s">
        <v>3244</v>
      </c>
      <c r="G53" s="42" t="s">
        <v>3245</v>
      </c>
      <c r="H53" s="42" t="s">
        <v>3225</v>
      </c>
    </row>
    <row r="54" customFormat="false" ht="15" hidden="false" customHeight="true" outlineLevel="0" collapsed="false">
      <c r="A54" s="66" t="s">
        <v>3246</v>
      </c>
      <c r="B54" s="67" t="n">
        <v>1298040</v>
      </c>
      <c r="C54" s="66" t="s">
        <v>2082</v>
      </c>
      <c r="D54" s="66" t="s">
        <v>3246</v>
      </c>
      <c r="E54" s="68" t="n">
        <f aca="false">IF($B$54=0,"",B54/$B$54)</f>
        <v>1</v>
      </c>
      <c r="F54" s="66" t="s">
        <v>3247</v>
      </c>
      <c r="G54" s="66" t="s">
        <v>3246</v>
      </c>
      <c r="H54" s="66" t="s">
        <v>3225</v>
      </c>
    </row>
    <row r="55" customFormat="false" ht="15" hidden="false" customHeight="true" outlineLevel="0" collapsed="false">
      <c r="A55" s="42" t="s">
        <v>3248</v>
      </c>
      <c r="B55" s="64" t="n">
        <v>-854335</v>
      </c>
      <c r="C55" s="42" t="s">
        <v>102</v>
      </c>
      <c r="D55" s="42" t="s">
        <v>3231</v>
      </c>
      <c r="E55" s="65" t="n">
        <f aca="false">IF($B$54=0,"",B55/$B$54)</f>
        <v>-0.658173091738313</v>
      </c>
      <c r="F55" s="42" t="s">
        <v>3249</v>
      </c>
      <c r="G55" s="42" t="s">
        <v>3250</v>
      </c>
      <c r="H55" s="42" t="s">
        <v>3225</v>
      </c>
    </row>
    <row r="56" customFormat="false" ht="15" hidden="false" customHeight="true" outlineLevel="0" collapsed="false">
      <c r="A56" s="42" t="s">
        <v>3251</v>
      </c>
      <c r="B56" s="64" t="n">
        <v>-278650</v>
      </c>
      <c r="C56" s="42" t="s">
        <v>102</v>
      </c>
      <c r="D56" s="42" t="s">
        <v>3231</v>
      </c>
      <c r="E56" s="65" t="n">
        <f aca="false">IF($B$54=0,"",B56/$B$54)</f>
        <v>-0.214669809867184</v>
      </c>
      <c r="F56" s="42" t="s">
        <v>3252</v>
      </c>
      <c r="G56" s="42" t="s">
        <v>3253</v>
      </c>
      <c r="H56" s="42" t="s">
        <v>3225</v>
      </c>
    </row>
    <row r="57" customFormat="false" ht="21.75" hidden="false" customHeight="true" outlineLevel="0" collapsed="false">
      <c r="A57" s="66" t="s">
        <v>3254</v>
      </c>
      <c r="B57" s="67" t="n">
        <v>165055</v>
      </c>
      <c r="C57" s="66" t="s">
        <v>2082</v>
      </c>
      <c r="D57" s="66" t="s">
        <v>3255</v>
      </c>
      <c r="E57" s="68" t="n">
        <f aca="false">IF($B$54=0,"",B57/$B$54)</f>
        <v>0.127157098394502</v>
      </c>
      <c r="F57" s="66" t="s">
        <v>3256</v>
      </c>
      <c r="G57" s="66" t="s">
        <v>3257</v>
      </c>
      <c r="H57" s="66" t="s">
        <v>3225</v>
      </c>
    </row>
    <row r="58" customFormat="false" ht="15" hidden="false" customHeight="true" outlineLevel="0" collapsed="false"/>
    <row r="59" customFormat="false" ht="15" hidden="false" customHeight="true" outlineLevel="0" collapsed="false"/>
    <row r="60" customFormat="false" ht="24" hidden="false" customHeight="true" outlineLevel="0" collapsed="false">
      <c r="A60" s="44" t="s">
        <v>3258</v>
      </c>
      <c r="B60" s="44"/>
      <c r="C60" s="44"/>
      <c r="D60" s="44"/>
      <c r="E60" s="44"/>
      <c r="F60" s="44"/>
      <c r="G60" s="44"/>
      <c r="H60" s="44"/>
    </row>
    <row r="61" customFormat="false" ht="27.75" hidden="false" customHeight="true" outlineLevel="0" collapsed="false">
      <c r="A61" s="41" t="s">
        <v>3058</v>
      </c>
      <c r="B61" s="41" t="s">
        <v>2386</v>
      </c>
      <c r="C61" s="41" t="s">
        <v>3143</v>
      </c>
      <c r="D61" s="41" t="s">
        <v>3144</v>
      </c>
      <c r="E61" s="41" t="s">
        <v>3145</v>
      </c>
      <c r="F61" s="41" t="s">
        <v>2387</v>
      </c>
      <c r="G61" s="41" t="s">
        <v>3259</v>
      </c>
      <c r="H61" s="41" t="s">
        <v>1993</v>
      </c>
    </row>
    <row r="62" customFormat="false" ht="21.75" hidden="false" customHeight="true" outlineLevel="0" collapsed="false">
      <c r="A62" s="42" t="s">
        <v>3260</v>
      </c>
      <c r="B62" s="42" t="s">
        <v>3261</v>
      </c>
      <c r="C62" s="69" t="n">
        <f aca="false">B27/C27-1</f>
        <v>0.0535522247284292</v>
      </c>
      <c r="D62" s="69"/>
      <c r="E62" s="69" t="str">
        <f aca="false">IF(OR(C62="",D62=""),"",C62-D62)</f>
        <v/>
      </c>
      <c r="F62" s="42" t="s">
        <v>3262</v>
      </c>
      <c r="G62" s="42" t="s">
        <v>3263</v>
      </c>
      <c r="H62" s="42" t="s">
        <v>3264</v>
      </c>
    </row>
    <row r="63" customFormat="false" ht="15" hidden="false" customHeight="true" outlineLevel="0" collapsed="false">
      <c r="A63" s="42" t="s">
        <v>3265</v>
      </c>
      <c r="B63" s="42" t="s">
        <v>3266</v>
      </c>
      <c r="C63" s="69" t="n">
        <f aca="false">B38/B27</f>
        <v>0.0818619761990946</v>
      </c>
      <c r="D63" s="69" t="n">
        <f aca="false">C38/C27</f>
        <v>0.0780839326062674</v>
      </c>
      <c r="E63" s="69" t="n">
        <f aca="false">IF(OR(C63="",D63=""),"",C63-D63)</f>
        <v>0.00377804359282724</v>
      </c>
      <c r="F63" s="42" t="s">
        <v>3267</v>
      </c>
      <c r="G63" s="42" t="s">
        <v>3268</v>
      </c>
      <c r="H63" s="42" t="s">
        <v>3264</v>
      </c>
    </row>
    <row r="64" customFormat="false" ht="15" hidden="false" customHeight="true" outlineLevel="0" collapsed="false">
      <c r="A64" s="42" t="s">
        <v>2331</v>
      </c>
      <c r="B64" s="42" t="s">
        <v>3269</v>
      </c>
      <c r="C64" s="69" t="n">
        <f aca="false">B43/B27</f>
        <v>0.0479105313569257</v>
      </c>
      <c r="D64" s="69" t="n">
        <f aca="false">C43/C27</f>
        <v>0.0467760495891569</v>
      </c>
      <c r="E64" s="69" t="n">
        <f aca="false">IF(OR(C64="",D64=""),"",C64-D64)</f>
        <v>0.00113448176776883</v>
      </c>
      <c r="F64" s="42" t="s">
        <v>3270</v>
      </c>
      <c r="G64" s="42" t="s">
        <v>3271</v>
      </c>
      <c r="H64" s="42" t="s">
        <v>3264</v>
      </c>
    </row>
    <row r="65" customFormat="false" ht="21.75" hidden="false" customHeight="true" outlineLevel="0" collapsed="false">
      <c r="A65" s="42" t="s">
        <v>2339</v>
      </c>
      <c r="B65" s="42" t="s">
        <v>3272</v>
      </c>
      <c r="C65" s="69" t="n">
        <f aca="false">B19/B16</f>
        <v>0.437542823633502</v>
      </c>
      <c r="D65" s="69" t="n">
        <f aca="false">C19/C16</f>
        <v>0.570370554818422</v>
      </c>
      <c r="E65" s="69" t="n">
        <f aca="false">IF(OR(C65="",D65=""),"",C65-D65)</f>
        <v>-0.13282773118492</v>
      </c>
      <c r="F65" s="42" t="s">
        <v>3273</v>
      </c>
      <c r="G65" s="42" t="s">
        <v>3274</v>
      </c>
      <c r="H65" s="42" t="s">
        <v>3275</v>
      </c>
    </row>
    <row r="66" customFormat="false" ht="15" hidden="false" customHeight="true" outlineLevel="0" collapsed="false">
      <c r="A66" s="42" t="s">
        <v>3276</v>
      </c>
      <c r="B66" s="42" t="s">
        <v>3276</v>
      </c>
      <c r="C66" s="69" t="n">
        <f aca="false">B10/B27</f>
        <v>0.185255444877919</v>
      </c>
      <c r="D66" s="69" t="n">
        <f aca="false">C10/C27</f>
        <v>0.173782546415289</v>
      </c>
      <c r="E66" s="69" t="n">
        <f aca="false">IF(OR(C66="",D66=""),"",C66-D66)</f>
        <v>0.0114728984626303</v>
      </c>
      <c r="F66" s="42" t="s">
        <v>3277</v>
      </c>
      <c r="G66" s="42" t="s">
        <v>3278</v>
      </c>
      <c r="H66" s="42" t="s">
        <v>3279</v>
      </c>
    </row>
    <row r="67" customFormat="false" ht="15" hidden="false" customHeight="true" outlineLevel="0" collapsed="false">
      <c r="A67" s="42" t="s">
        <v>3280</v>
      </c>
      <c r="B67" s="42" t="s">
        <v>3280</v>
      </c>
      <c r="C67" s="69" t="n">
        <f aca="false">B11/B27</f>
        <v>0.221850193425182</v>
      </c>
      <c r="D67" s="69" t="n">
        <f aca="false">C11/C27</f>
        <v>0.242188134493992</v>
      </c>
      <c r="E67" s="69" t="n">
        <f aca="false">IF(OR(C67="",D67=""),"",C67-D67)</f>
        <v>-0.0203379410688095</v>
      </c>
      <c r="F67" s="42" t="s">
        <v>3281</v>
      </c>
      <c r="G67" s="42" t="s">
        <v>3278</v>
      </c>
      <c r="H67" s="42" t="s">
        <v>3279</v>
      </c>
    </row>
    <row r="68" customFormat="false" ht="21.75" hidden="false" customHeight="true" outlineLevel="0" collapsed="false">
      <c r="A68" s="42" t="s">
        <v>3282</v>
      </c>
      <c r="B68" s="42" t="s">
        <v>3283</v>
      </c>
      <c r="C68" s="69" t="n">
        <f aca="false">B13/B15</f>
        <v>0.112882813482581</v>
      </c>
      <c r="D68" s="69" t="n">
        <f aca="false">C13/C15</f>
        <v>0.10359607647285</v>
      </c>
      <c r="E68" s="69" t="n">
        <f aca="false">IF(OR(C68="",D68=""),"",C68-D68)</f>
        <v>0.00928673700973046</v>
      </c>
      <c r="F68" s="42" t="s">
        <v>3284</v>
      </c>
      <c r="G68" s="42" t="s">
        <v>2367</v>
      </c>
      <c r="H68" s="42" t="s">
        <v>3275</v>
      </c>
    </row>
    <row r="69" customFormat="false" ht="21.75" hidden="false" customHeight="true" outlineLevel="0" collapsed="false">
      <c r="A69" s="42" t="s">
        <v>3285</v>
      </c>
      <c r="B69" s="42" t="s">
        <v>3286</v>
      </c>
      <c r="C69" s="69" t="n">
        <f aca="false">B16/B15</f>
        <v>0.424479275842312</v>
      </c>
      <c r="D69" s="69" t="n">
        <f aca="false">C16/C15</f>
        <v>0.387481156768792</v>
      </c>
      <c r="E69" s="69" t="n">
        <f aca="false">IF(OR(C69="",D69=""),"",C69-D69)</f>
        <v>0.03699811907352</v>
      </c>
      <c r="F69" s="42" t="s">
        <v>3287</v>
      </c>
      <c r="G69" s="42" t="s">
        <v>3274</v>
      </c>
      <c r="H69" s="42" t="s">
        <v>3275</v>
      </c>
    </row>
    <row r="71" customFormat="false" ht="24" hidden="false" customHeight="true" outlineLevel="0" collapsed="false">
      <c r="A71" s="44" t="s">
        <v>3288</v>
      </c>
      <c r="B71" s="44"/>
      <c r="C71" s="44"/>
      <c r="D71" s="44"/>
      <c r="E71" s="44"/>
      <c r="F71" s="44"/>
      <c r="G71" s="44"/>
      <c r="H71" s="44"/>
    </row>
    <row r="72" customFormat="false" ht="27.75" hidden="false" customHeight="true" outlineLevel="0" collapsed="false">
      <c r="A72" s="41" t="s">
        <v>120</v>
      </c>
      <c r="B72" s="41" t="s">
        <v>2386</v>
      </c>
      <c r="C72" s="41" t="s">
        <v>3143</v>
      </c>
      <c r="D72" s="41" t="s">
        <v>3144</v>
      </c>
      <c r="E72" s="41" t="s">
        <v>3289</v>
      </c>
      <c r="F72" s="41" t="s">
        <v>3148</v>
      </c>
      <c r="G72" s="41" t="s">
        <v>3259</v>
      </c>
      <c r="H72" s="41" t="s">
        <v>1993</v>
      </c>
    </row>
    <row r="73" customFormat="false" ht="21.75" hidden="false" customHeight="true" outlineLevel="0" collapsed="false">
      <c r="A73" s="42" t="s">
        <v>3290</v>
      </c>
      <c r="B73" s="42" t="s">
        <v>3291</v>
      </c>
      <c r="C73" s="51" t="n">
        <f aca="false">B15-SUM(B7:B14)</f>
        <v>0</v>
      </c>
      <c r="D73" s="51" t="n">
        <f aca="false">C15-SUM(C7:C14)</f>
        <v>0</v>
      </c>
      <c r="E73" s="70" t="str">
        <f aca="false">IF(AND(C73=0,D73=0),"Quadra","Differenza")</f>
        <v>Quadra</v>
      </c>
      <c r="F73" s="42" t="s">
        <v>3292</v>
      </c>
      <c r="G73" s="42" t="s">
        <v>2080</v>
      </c>
      <c r="H73" s="42" t="s">
        <v>3293</v>
      </c>
    </row>
    <row r="74" customFormat="false" ht="21.75" hidden="false" customHeight="true" outlineLevel="0" collapsed="false">
      <c r="A74" s="42" t="s">
        <v>3294</v>
      </c>
      <c r="B74" s="42" t="s">
        <v>3295</v>
      </c>
      <c r="C74" s="51" t="n">
        <f aca="false">B23-SUM(B16:B22)</f>
        <v>0</v>
      </c>
      <c r="D74" s="51" t="n">
        <f aca="false">C23-SUM(C16:C22)</f>
        <v>0</v>
      </c>
      <c r="E74" s="70" t="str">
        <f aca="false">IF(AND(C74=0,D74=0),"Quadra","Differenza")</f>
        <v>Quadra</v>
      </c>
      <c r="F74" s="42" t="s">
        <v>3296</v>
      </c>
      <c r="G74" s="42" t="s">
        <v>2080</v>
      </c>
      <c r="H74" s="42" t="s">
        <v>3293</v>
      </c>
    </row>
    <row r="75" customFormat="false" ht="21.75" hidden="false" customHeight="true" outlineLevel="0" collapsed="false">
      <c r="A75" s="42" t="s">
        <v>3297</v>
      </c>
      <c r="B75" s="42" t="s">
        <v>3298</v>
      </c>
      <c r="C75" s="51" t="n">
        <f aca="false">B37-SUM(B31:B36)</f>
        <v>0</v>
      </c>
      <c r="D75" s="51" t="n">
        <f aca="false">C37-SUM(C31:C36)</f>
        <v>0</v>
      </c>
      <c r="E75" s="70" t="str">
        <f aca="false">IF(AND(C75=0,D75=0),"Quadra","Differenza")</f>
        <v>Quadra</v>
      </c>
      <c r="F75" s="42" t="s">
        <v>3296</v>
      </c>
      <c r="G75" s="42" t="s">
        <v>2080</v>
      </c>
      <c r="H75" s="42" t="s">
        <v>3293</v>
      </c>
    </row>
    <row r="76" customFormat="false" ht="21.75" hidden="false" customHeight="true" outlineLevel="0" collapsed="false">
      <c r="A76" s="42" t="s">
        <v>3299</v>
      </c>
      <c r="B76" s="42" t="s">
        <v>3300</v>
      </c>
      <c r="C76" s="51" t="n">
        <f aca="false">B54-SUM(B48:B53)</f>
        <v>0</v>
      </c>
      <c r="D76" s="51"/>
      <c r="E76" s="70" t="str">
        <f aca="false">IF(C76=0,"Quadra","Differenza")</f>
        <v>Quadra</v>
      </c>
      <c r="F76" s="42" t="s">
        <v>3301</v>
      </c>
      <c r="G76" s="42" t="s">
        <v>2080</v>
      </c>
      <c r="H76" s="42" t="s">
        <v>3293</v>
      </c>
    </row>
    <row r="77" customFormat="false" ht="21.75" hidden="false" customHeight="true" outlineLevel="0" collapsed="false">
      <c r="A77" s="42" t="s">
        <v>3302</v>
      </c>
      <c r="B77" s="42" t="s">
        <v>3302</v>
      </c>
      <c r="C77" s="51" t="n">
        <f aca="false">B15-B23</f>
        <v>0</v>
      </c>
      <c r="D77" s="51" t="n">
        <f aca="false">C15-C23</f>
        <v>0</v>
      </c>
      <c r="E77" s="70" t="str">
        <f aca="false">IF(AND(C77=0,D77=0),"Quadra","Differenza")</f>
        <v>Quadra</v>
      </c>
      <c r="F77" s="42" t="s">
        <v>3303</v>
      </c>
      <c r="G77" s="42" t="s">
        <v>2080</v>
      </c>
      <c r="H77" s="42" t="s">
        <v>3275</v>
      </c>
    </row>
    <row r="78" customFormat="false" ht="21.75" hidden="false" customHeight="true" outlineLevel="0" collapsed="false">
      <c r="A78" s="42" t="s">
        <v>3304</v>
      </c>
      <c r="B78" s="42" t="s">
        <v>3305</v>
      </c>
      <c r="C78" s="51" t="n">
        <f aca="false">B41-(B38-B39-B40)</f>
        <v>0</v>
      </c>
      <c r="D78" s="51" t="n">
        <f aca="false">C41-(C38-C39-C40)</f>
        <v>0</v>
      </c>
      <c r="E78" s="70" t="str">
        <f aca="false">IF(AND(C78=0,D78=0),"Quadra","Differenza")</f>
        <v>Quadra</v>
      </c>
      <c r="F78" s="42" t="s">
        <v>3306</v>
      </c>
      <c r="G78" s="42" t="s">
        <v>2080</v>
      </c>
      <c r="H78" s="42" t="s">
        <v>3264</v>
      </c>
    </row>
    <row r="79" customFormat="false" ht="21.75" hidden="false" customHeight="true" outlineLevel="0" collapsed="false">
      <c r="A79" s="42" t="s">
        <v>3307</v>
      </c>
      <c r="B79" s="42" t="s">
        <v>3308</v>
      </c>
      <c r="C79" s="51" t="n">
        <f aca="false">B43-D16</f>
        <v>0</v>
      </c>
      <c r="D79" s="51"/>
      <c r="E79" s="70" t="str">
        <f aca="false">IF(C79=0,"Quadra","Differenza")</f>
        <v>Quadra</v>
      </c>
      <c r="F79" s="42" t="s">
        <v>3309</v>
      </c>
      <c r="G79" s="42" t="s">
        <v>2080</v>
      </c>
      <c r="H79" s="42" t="s">
        <v>3310</v>
      </c>
    </row>
    <row r="80" customFormat="false" ht="21.75" hidden="false" customHeight="true" outlineLevel="0" collapsed="false">
      <c r="A80" s="42" t="s">
        <v>3311</v>
      </c>
      <c r="B80" s="42" t="s">
        <v>3312</v>
      </c>
      <c r="C80" s="51" t="n">
        <f aca="false">B54+B55+B56-B57</f>
        <v>0</v>
      </c>
      <c r="D80" s="51"/>
      <c r="E80" s="70" t="str">
        <f aca="false">IF(C80=0,"Quadra","Differenza")</f>
        <v>Quadra</v>
      </c>
      <c r="F80" s="42" t="s">
        <v>3303</v>
      </c>
      <c r="G80" s="42" t="s">
        <v>2080</v>
      </c>
      <c r="H80" s="42" t="s">
        <v>3313</v>
      </c>
    </row>
    <row r="81" customFormat="false" ht="21.75" hidden="false" customHeight="true" outlineLevel="0" collapsed="false">
      <c r="A81" s="42" t="s">
        <v>3314</v>
      </c>
      <c r="B81" s="42" t="s">
        <v>3315</v>
      </c>
      <c r="C81" s="51" t="n">
        <f aca="false">B57-D13</f>
        <v>0</v>
      </c>
      <c r="D81" s="51"/>
      <c r="E81" s="70" t="str">
        <f aca="false">IF(C81=0,"Quadra","Differenza")</f>
        <v>Quadra</v>
      </c>
      <c r="F81" s="42" t="s">
        <v>3303</v>
      </c>
      <c r="G81" s="42" t="s">
        <v>2080</v>
      </c>
      <c r="H81" s="42" t="s">
        <v>3316</v>
      </c>
    </row>
  </sheetData>
  <mergeCells count="7">
    <mergeCell ref="A1:H2"/>
    <mergeCell ref="A3:H3"/>
    <mergeCell ref="A5:H5"/>
    <mergeCell ref="A25:H25"/>
    <mergeCell ref="A46:H46"/>
    <mergeCell ref="A60:H60"/>
    <mergeCell ref="A71:H7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0"/>
    <col collapsed="false" customWidth="true" hidden="false" outlineLevel="0" max="4" min="3" style="1" width="18"/>
    <col collapsed="false" customWidth="true" hidden="false" outlineLevel="0" max="5" min="5" style="1" width="12"/>
    <col collapsed="false" customWidth="true" hidden="false" outlineLevel="0" max="7" min="7" style="1" width="26"/>
    <col collapsed="false" customWidth="true" hidden="false" outlineLevel="0" max="8" min="8" style="1" width="12"/>
  </cols>
  <sheetData>
    <row r="1" customFormat="false" ht="30" hidden="false" customHeight="true" outlineLevel="0" collapsed="false">
      <c r="A1" s="61" t="s">
        <v>3317</v>
      </c>
      <c r="B1" s="61"/>
      <c r="C1" s="61"/>
      <c r="D1" s="61"/>
      <c r="E1" s="61"/>
    </row>
    <row r="2" customFormat="false" ht="15" hidden="false" customHeight="true" outlineLevel="0" collapsed="false">
      <c r="A2" s="11" t="s">
        <v>3318</v>
      </c>
    </row>
    <row r="4" customFormat="false" ht="15" hidden="false" customHeight="true" outlineLevel="0" collapsed="false">
      <c r="A4" s="6" t="s">
        <v>8</v>
      </c>
      <c r="B4" s="6" t="s">
        <v>116</v>
      </c>
      <c r="C4" s="6" t="s">
        <v>3319</v>
      </c>
      <c r="D4" s="6" t="s">
        <v>119</v>
      </c>
      <c r="E4" s="6" t="s">
        <v>120</v>
      </c>
      <c r="G4" s="6" t="s">
        <v>3320</v>
      </c>
    </row>
    <row r="5" customFormat="false" ht="15" hidden="false" customHeight="true" outlineLevel="0" collapsed="false">
      <c r="A5" s="71" t="s">
        <v>11</v>
      </c>
      <c r="B5" s="71" t="s">
        <v>148</v>
      </c>
      <c r="C5" s="72" t="n">
        <f aca="false">Impresa_guida!B31</f>
        <v>1440000</v>
      </c>
      <c r="D5" s="72" t="n">
        <f aca="false">Impresa_guida!D31</f>
        <v>1440000</v>
      </c>
      <c r="E5" s="73" t="str">
        <f aca="false">Impresa_guida!E31</f>
        <v>OK</v>
      </c>
      <c r="G5" s="73" t="s">
        <v>109</v>
      </c>
      <c r="H5" s="74" t="n">
        <f aca="false">COUNTA(E5:E1048)</f>
        <v>1044</v>
      </c>
    </row>
    <row r="6" customFormat="false" ht="15" hidden="false" customHeight="true" outlineLevel="0" collapsed="false">
      <c r="A6" s="71" t="s">
        <v>11</v>
      </c>
      <c r="B6" s="71" t="s">
        <v>150</v>
      </c>
      <c r="C6" s="72" t="n">
        <f aca="false">Impresa_guida!B32</f>
        <v>1368000</v>
      </c>
      <c r="D6" s="72" t="n">
        <f aca="false">Impresa_guida!D32</f>
        <v>1368000</v>
      </c>
      <c r="E6" s="73" t="str">
        <f aca="false">Impresa_guida!E32</f>
        <v>OK</v>
      </c>
      <c r="G6" s="73" t="s">
        <v>3321</v>
      </c>
      <c r="H6" s="74" t="n">
        <f aca="false">COUNTIF(E5:E1048,"OK")</f>
        <v>1044</v>
      </c>
    </row>
    <row r="7" customFormat="false" ht="15" hidden="false" customHeight="true" outlineLevel="0" collapsed="false">
      <c r="A7" s="71" t="s">
        <v>11</v>
      </c>
      <c r="B7" s="71" t="s">
        <v>151</v>
      </c>
      <c r="C7" s="72" t="n">
        <f aca="false">Impresa_guida!B33</f>
        <v>578000</v>
      </c>
      <c r="D7" s="72" t="n">
        <f aca="false">Impresa_guida!D33</f>
        <v>578000</v>
      </c>
      <c r="E7" s="73" t="str">
        <f aca="false">Impresa_guida!E33</f>
        <v>OK</v>
      </c>
      <c r="G7" s="73" t="s">
        <v>3322</v>
      </c>
      <c r="H7" s="74" t="n">
        <f aca="false">COUNTIF(E5:E1048,"DIVERSO")</f>
        <v>0</v>
      </c>
    </row>
    <row r="8" customFormat="false" ht="15" hidden="false" customHeight="true" outlineLevel="0" collapsed="false">
      <c r="A8" s="71" t="s">
        <v>11</v>
      </c>
      <c r="B8" s="71" t="s">
        <v>152</v>
      </c>
      <c r="C8" s="72" t="n">
        <f aca="false">Impresa_guida!B34</f>
        <v>3386000</v>
      </c>
      <c r="D8" s="72" t="n">
        <f aca="false">Impresa_guida!D34</f>
        <v>3386000</v>
      </c>
      <c r="E8" s="73" t="str">
        <f aca="false">Impresa_guida!E34</f>
        <v>OK</v>
      </c>
    </row>
    <row r="9" customFormat="false" ht="15" hidden="false" customHeight="true" outlineLevel="0" collapsed="false">
      <c r="A9" s="71" t="s">
        <v>11</v>
      </c>
      <c r="B9" s="71" t="s">
        <v>153</v>
      </c>
      <c r="C9" s="72" t="n">
        <f aca="false">Impresa_guida!B35</f>
        <v>2324000</v>
      </c>
      <c r="D9" s="72" t="n">
        <f aca="false">Impresa_guida!D35</f>
        <v>2324000</v>
      </c>
      <c r="E9" s="73" t="str">
        <f aca="false">Impresa_guida!E35</f>
        <v>OK</v>
      </c>
    </row>
    <row r="10" customFormat="false" ht="15" hidden="false" customHeight="true" outlineLevel="0" collapsed="false">
      <c r="A10" s="71" t="s">
        <v>11</v>
      </c>
      <c r="B10" s="71" t="s">
        <v>154</v>
      </c>
      <c r="C10" s="72" t="n">
        <f aca="false">Impresa_guida!B36</f>
        <v>1062000</v>
      </c>
      <c r="D10" s="72" t="n">
        <f aca="false">Impresa_guida!D36</f>
        <v>1062000</v>
      </c>
      <c r="E10" s="73" t="str">
        <f aca="false">Impresa_guida!E36</f>
        <v>OK</v>
      </c>
    </row>
    <row r="11" customFormat="false" ht="15" hidden="false" customHeight="true" outlineLevel="0" collapsed="false">
      <c r="A11" s="71" t="s">
        <v>11</v>
      </c>
      <c r="B11" s="71" t="s">
        <v>155</v>
      </c>
      <c r="C11" s="72" t="n">
        <f aca="false">Impresa_guida!B37</f>
        <v>24000</v>
      </c>
      <c r="D11" s="72" t="n">
        <f aca="false">Impresa_guida!D37</f>
        <v>24000</v>
      </c>
      <c r="E11" s="73" t="str">
        <f aca="false">Impresa_guida!E37</f>
        <v>OK</v>
      </c>
    </row>
    <row r="12" customFormat="false" ht="15" hidden="false" customHeight="true" outlineLevel="0" collapsed="false">
      <c r="A12" s="71" t="s">
        <v>11</v>
      </c>
      <c r="B12" s="71" t="s">
        <v>156</v>
      </c>
      <c r="C12" s="72" t="n">
        <f aca="false">Impresa_guida!B38</f>
        <v>3000</v>
      </c>
      <c r="D12" s="72" t="n">
        <f aca="false">Impresa_guida!D38</f>
        <v>3000</v>
      </c>
      <c r="E12" s="73" t="str">
        <f aca="false">Impresa_guida!E38</f>
        <v>OK</v>
      </c>
    </row>
    <row r="13" customFormat="false" ht="15" hidden="false" customHeight="true" outlineLevel="0" collapsed="false">
      <c r="A13" s="71" t="s">
        <v>11</v>
      </c>
      <c r="B13" s="71" t="s">
        <v>157</v>
      </c>
      <c r="C13" s="72" t="n">
        <f aca="false">Impresa_guida!B39</f>
        <v>84000</v>
      </c>
      <c r="D13" s="72" t="n">
        <f aca="false">Impresa_guida!D39</f>
        <v>84000</v>
      </c>
      <c r="E13" s="73" t="str">
        <f aca="false">Impresa_guida!E39</f>
        <v>OK</v>
      </c>
    </row>
    <row r="14" customFormat="false" ht="15" hidden="false" customHeight="true" outlineLevel="0" collapsed="false">
      <c r="A14" s="71" t="s">
        <v>11</v>
      </c>
      <c r="B14" s="71" t="s">
        <v>158</v>
      </c>
      <c r="C14" s="72" t="n">
        <f aca="false">Impresa_guida!B40</f>
        <v>736000</v>
      </c>
      <c r="D14" s="72" t="n">
        <f aca="false">Impresa_guida!D40</f>
        <v>736000</v>
      </c>
      <c r="E14" s="73" t="str">
        <f aca="false">Impresa_guida!E40</f>
        <v>OK</v>
      </c>
    </row>
    <row r="15" customFormat="false" ht="15" hidden="false" customHeight="true" outlineLevel="0" collapsed="false">
      <c r="A15" s="71" t="s">
        <v>11</v>
      </c>
      <c r="B15" s="71" t="s">
        <v>159</v>
      </c>
      <c r="C15" s="72" t="n">
        <f aca="false">Impresa_guida!B41</f>
        <v>820000</v>
      </c>
      <c r="D15" s="72" t="n">
        <f aca="false">Impresa_guida!D41</f>
        <v>820000</v>
      </c>
      <c r="E15" s="73" t="str">
        <f aca="false">Impresa_guida!E41</f>
        <v>OK</v>
      </c>
    </row>
    <row r="16" customFormat="false" ht="15" hidden="false" customHeight="true" outlineLevel="0" collapsed="false">
      <c r="A16" s="71" t="s">
        <v>11</v>
      </c>
      <c r="B16" s="71" t="s">
        <v>160</v>
      </c>
      <c r="C16" s="72" t="n">
        <f aca="false">Impresa_guida!B42</f>
        <v>242000</v>
      </c>
      <c r="D16" s="72" t="n">
        <f aca="false">Impresa_guida!D42</f>
        <v>242000</v>
      </c>
      <c r="E16" s="73" t="str">
        <f aca="false">Impresa_guida!E42</f>
        <v>OK</v>
      </c>
    </row>
    <row r="17" customFormat="false" ht="15" hidden="false" customHeight="true" outlineLevel="0" collapsed="false">
      <c r="A17" s="71" t="s">
        <v>15</v>
      </c>
      <c r="B17" s="71" t="s">
        <v>167</v>
      </c>
      <c r="C17" s="72" t="n">
        <f aca="false">Cap_01!B11</f>
        <v>80000</v>
      </c>
      <c r="D17" s="72" t="n">
        <f aca="false">Cap_01!D11</f>
        <v>80000</v>
      </c>
      <c r="E17" s="73" t="str">
        <f aca="false">Cap_01!E11</f>
        <v>OK</v>
      </c>
    </row>
    <row r="18" customFormat="false" ht="15" hidden="false" customHeight="true" outlineLevel="0" collapsed="false">
      <c r="A18" s="71" t="s">
        <v>15</v>
      </c>
      <c r="B18" s="71" t="s">
        <v>160</v>
      </c>
      <c r="C18" s="72" t="n">
        <f aca="false">Cap_01!B13</f>
        <v>25000</v>
      </c>
      <c r="D18" s="72" t="n">
        <f aca="false">Cap_01!D13</f>
        <v>25000</v>
      </c>
      <c r="E18" s="73" t="str">
        <f aca="false">Cap_01!E13</f>
        <v>OK</v>
      </c>
    </row>
    <row r="19" customFormat="false" ht="15" hidden="false" customHeight="true" outlineLevel="0" collapsed="false">
      <c r="A19" s="71" t="s">
        <v>15</v>
      </c>
      <c r="B19" s="71" t="s">
        <v>170</v>
      </c>
      <c r="C19" s="72" t="n">
        <f aca="false">Cap_01!B15</f>
        <v>20000</v>
      </c>
      <c r="D19" s="72" t="n">
        <f aca="false">Cap_01!D15</f>
        <v>20000</v>
      </c>
      <c r="E19" s="73" t="str">
        <f aca="false">Cap_01!E15</f>
        <v>OK</v>
      </c>
    </row>
    <row r="20" customFormat="false" ht="15" hidden="false" customHeight="true" outlineLevel="0" collapsed="false">
      <c r="A20" s="71" t="s">
        <v>15</v>
      </c>
      <c r="B20" s="71" t="s">
        <v>175</v>
      </c>
      <c r="C20" s="72" t="n">
        <f aca="false">Cap_01!B22</f>
        <v>20000</v>
      </c>
      <c r="D20" s="72" t="n">
        <f aca="false">Cap_01!D22</f>
        <v>20000</v>
      </c>
      <c r="E20" s="73" t="str">
        <f aca="false">Cap_01!E22</f>
        <v>OK</v>
      </c>
    </row>
    <row r="21" customFormat="false" ht="15" hidden="false" customHeight="true" outlineLevel="0" collapsed="false">
      <c r="A21" s="71" t="s">
        <v>15</v>
      </c>
      <c r="B21" s="71" t="s">
        <v>176</v>
      </c>
      <c r="C21" s="72" t="n">
        <f aca="false">Cap_01!B23</f>
        <v>10000</v>
      </c>
      <c r="D21" s="72" t="n">
        <f aca="false">Cap_01!D23</f>
        <v>10000</v>
      </c>
      <c r="E21" s="73" t="str">
        <f aca="false">Cap_01!E23</f>
        <v>OK</v>
      </c>
    </row>
    <row r="22" customFormat="false" ht="15" hidden="false" customHeight="true" outlineLevel="0" collapsed="false">
      <c r="A22" s="71" t="s">
        <v>15</v>
      </c>
      <c r="B22" s="71" t="s">
        <v>182</v>
      </c>
      <c r="C22" s="72" t="n">
        <f aca="false">Cap_01!B30</f>
        <v>10000</v>
      </c>
      <c r="D22" s="72" t="n">
        <f aca="false">Cap_01!D30</f>
        <v>10000</v>
      </c>
      <c r="E22" s="73" t="str">
        <f aca="false">Cap_01!E30</f>
        <v>OK</v>
      </c>
    </row>
    <row r="23" customFormat="false" ht="15" hidden="false" customHeight="true" outlineLevel="0" collapsed="false">
      <c r="A23" s="71" t="s">
        <v>15</v>
      </c>
      <c r="B23" s="71" t="s">
        <v>164</v>
      </c>
      <c r="C23" s="72" t="n">
        <f aca="false">Cap_01!B35</f>
        <v>3386000</v>
      </c>
      <c r="D23" s="72" t="n">
        <f aca="false">Cap_01!D35</f>
        <v>3386000</v>
      </c>
      <c r="E23" s="73" t="str">
        <f aca="false">Cap_01!E35</f>
        <v>OK</v>
      </c>
    </row>
    <row r="24" customFormat="false" ht="15" hidden="false" customHeight="true" outlineLevel="0" collapsed="false">
      <c r="A24" s="71" t="s">
        <v>15</v>
      </c>
      <c r="B24" s="71" t="s">
        <v>166</v>
      </c>
      <c r="C24" s="72" t="n">
        <f aca="false">Cap_01!B36</f>
        <v>2324000</v>
      </c>
      <c r="D24" s="72" t="n">
        <f aca="false">Cap_01!D36</f>
        <v>2324000</v>
      </c>
      <c r="E24" s="73" t="str">
        <f aca="false">Cap_01!E36</f>
        <v>OK</v>
      </c>
    </row>
    <row r="25" customFormat="false" ht="15" hidden="false" customHeight="true" outlineLevel="0" collapsed="false">
      <c r="A25" s="71" t="s">
        <v>15</v>
      </c>
      <c r="B25" s="71" t="s">
        <v>167</v>
      </c>
      <c r="C25" s="72" t="n">
        <f aca="false">Cap_01!B37</f>
        <v>1062000</v>
      </c>
      <c r="D25" s="72" t="n">
        <f aca="false">Cap_01!D37</f>
        <v>1062000</v>
      </c>
      <c r="E25" s="73" t="str">
        <f aca="false">Cap_01!E37</f>
        <v>OK</v>
      </c>
    </row>
    <row r="26" customFormat="false" ht="15" hidden="false" customHeight="true" outlineLevel="0" collapsed="false">
      <c r="A26" s="71" t="s">
        <v>15</v>
      </c>
      <c r="B26" s="71" t="s">
        <v>159</v>
      </c>
      <c r="C26" s="72" t="n">
        <f aca="false">Cap_01!B38</f>
        <v>820000</v>
      </c>
      <c r="D26" s="72" t="n">
        <f aca="false">Cap_01!D38</f>
        <v>820000</v>
      </c>
      <c r="E26" s="73" t="str">
        <f aca="false">Cap_01!E38</f>
        <v>OK</v>
      </c>
    </row>
    <row r="27" customFormat="false" ht="15" hidden="false" customHeight="true" outlineLevel="0" collapsed="false">
      <c r="A27" s="71" t="s">
        <v>15</v>
      </c>
      <c r="B27" s="71" t="s">
        <v>160</v>
      </c>
      <c r="C27" s="72" t="n">
        <f aca="false">Cap_01!B39</f>
        <v>242000</v>
      </c>
      <c r="D27" s="72" t="n">
        <f aca="false">Cap_01!D39</f>
        <v>242000</v>
      </c>
      <c r="E27" s="73" t="str">
        <f aca="false">Cap_01!E39</f>
        <v>OK</v>
      </c>
    </row>
    <row r="28" customFormat="false" ht="15" hidden="false" customHeight="true" outlineLevel="0" collapsed="false">
      <c r="A28" s="71" t="s">
        <v>15</v>
      </c>
      <c r="B28" s="71" t="s">
        <v>189</v>
      </c>
      <c r="C28" s="72" t="n">
        <f aca="false">Cap_01!B46</f>
        <v>3206000</v>
      </c>
      <c r="D28" s="72" t="n">
        <f aca="false">Cap_01!D46</f>
        <v>3206000</v>
      </c>
      <c r="E28" s="73" t="str">
        <f aca="false">Cap_01!E46</f>
        <v>OK</v>
      </c>
    </row>
    <row r="29" customFormat="false" ht="15" hidden="false" customHeight="true" outlineLevel="0" collapsed="false">
      <c r="A29" s="71" t="s">
        <v>18</v>
      </c>
      <c r="B29" s="71" t="s">
        <v>196</v>
      </c>
      <c r="C29" s="72" t="n">
        <f aca="false">Cap_02!B11</f>
        <v>84000</v>
      </c>
      <c r="D29" s="72" t="n">
        <f aca="false">Cap_02!D11</f>
        <v>84000</v>
      </c>
      <c r="E29" s="73" t="str">
        <f aca="false">Cap_02!E11</f>
        <v>OK</v>
      </c>
    </row>
    <row r="30" customFormat="false" ht="15" hidden="false" customHeight="true" outlineLevel="0" collapsed="false">
      <c r="A30" s="71" t="s">
        <v>18</v>
      </c>
      <c r="B30" s="71" t="s">
        <v>198</v>
      </c>
      <c r="C30" s="72" t="n">
        <f aca="false">Cap_02!B13</f>
        <v>204000</v>
      </c>
      <c r="D30" s="72" t="n">
        <f aca="false">Cap_02!D13</f>
        <v>204000</v>
      </c>
      <c r="E30" s="73" t="str">
        <f aca="false">Cap_02!E13</f>
        <v>OK</v>
      </c>
    </row>
    <row r="31" customFormat="false" ht="15" hidden="false" customHeight="true" outlineLevel="0" collapsed="false">
      <c r="A31" s="71" t="s">
        <v>18</v>
      </c>
      <c r="B31" s="71" t="s">
        <v>203</v>
      </c>
      <c r="C31" s="72" t="n">
        <f aca="false">Cap_02!B20</f>
        <v>240000</v>
      </c>
      <c r="D31" s="72" t="n">
        <f aca="false">Cap_02!D20</f>
        <v>240000</v>
      </c>
      <c r="E31" s="73" t="str">
        <f aca="false">Cap_02!E20</f>
        <v>OK</v>
      </c>
    </row>
    <row r="32" customFormat="false" ht="15" hidden="false" customHeight="true" outlineLevel="0" collapsed="false">
      <c r="A32" s="71" t="s">
        <v>18</v>
      </c>
      <c r="B32" s="71" t="s">
        <v>206</v>
      </c>
      <c r="C32" s="72" t="n">
        <f aca="false">Cap_02!B23</f>
        <v>180000</v>
      </c>
      <c r="D32" s="72" t="n">
        <f aca="false">Cap_02!D23</f>
        <v>180000</v>
      </c>
      <c r="E32" s="73" t="str">
        <f aca="false">Cap_02!E23</f>
        <v>OK</v>
      </c>
    </row>
    <row r="33" customFormat="false" ht="15" hidden="false" customHeight="true" outlineLevel="0" collapsed="false">
      <c r="A33" s="71" t="s">
        <v>18</v>
      </c>
      <c r="B33" s="71" t="s">
        <v>209</v>
      </c>
      <c r="C33" s="72" t="n">
        <f aca="false">Cap_02!B26</f>
        <v>150000</v>
      </c>
      <c r="D33" s="72" t="n">
        <f aca="false">Cap_02!D26</f>
        <v>150000</v>
      </c>
      <c r="E33" s="73" t="str">
        <f aca="false">Cap_02!E26</f>
        <v>OK</v>
      </c>
    </row>
    <row r="34" customFormat="false" ht="15" hidden="false" customHeight="true" outlineLevel="0" collapsed="false">
      <c r="A34" s="71" t="s">
        <v>18</v>
      </c>
      <c r="B34" s="71" t="s">
        <v>210</v>
      </c>
      <c r="C34" s="72" t="n">
        <f aca="false">Cap_02!B27</f>
        <v>570000</v>
      </c>
      <c r="D34" s="72" t="n">
        <f aca="false">Cap_02!D27</f>
        <v>570000</v>
      </c>
      <c r="E34" s="73" t="str">
        <f aca="false">Cap_02!E27</f>
        <v>OK</v>
      </c>
    </row>
    <row r="35" customFormat="false" ht="15" hidden="false" customHeight="true" outlineLevel="0" collapsed="false">
      <c r="A35" s="71" t="s">
        <v>18</v>
      </c>
      <c r="B35" s="71" t="s">
        <v>213</v>
      </c>
      <c r="C35" s="72" t="n">
        <f aca="false">Cap_02!B32</f>
        <v>46000</v>
      </c>
      <c r="D35" s="72" t="n">
        <f aca="false">Cap_02!D32</f>
        <v>46000</v>
      </c>
      <c r="E35" s="73" t="str">
        <f aca="false">Cap_02!E32</f>
        <v>OK</v>
      </c>
    </row>
    <row r="36" customFormat="false" ht="15" hidden="false" customHeight="true" outlineLevel="0" collapsed="false">
      <c r="A36" s="71" t="s">
        <v>18</v>
      </c>
      <c r="B36" s="71" t="s">
        <v>214</v>
      </c>
      <c r="C36" s="72" t="n">
        <f aca="false">Cap_02!B33</f>
        <v>46000</v>
      </c>
      <c r="D36" s="72" t="n">
        <f aca="false">Cap_02!D33</f>
        <v>46000</v>
      </c>
      <c r="E36" s="73" t="str">
        <f aca="false">Cap_02!E33</f>
        <v>OK</v>
      </c>
    </row>
    <row r="37" customFormat="false" ht="15" hidden="false" customHeight="true" outlineLevel="0" collapsed="false">
      <c r="A37" s="71" t="s">
        <v>18</v>
      </c>
      <c r="B37" s="71" t="s">
        <v>193</v>
      </c>
      <c r="C37" s="72" t="n">
        <f aca="false">Cap_02!B38</f>
        <v>438000</v>
      </c>
      <c r="D37" s="72" t="n">
        <f aca="false">Cap_02!D38</f>
        <v>438000</v>
      </c>
      <c r="E37" s="73" t="str">
        <f aca="false">Cap_02!E38</f>
        <v>OK</v>
      </c>
    </row>
    <row r="38" customFormat="false" ht="15" hidden="false" customHeight="true" outlineLevel="0" collapsed="false">
      <c r="A38" s="71" t="s">
        <v>18</v>
      </c>
      <c r="B38" s="71" t="s">
        <v>195</v>
      </c>
      <c r="C38" s="72" t="n">
        <f aca="false">Cap_02!B39</f>
        <v>74000</v>
      </c>
      <c r="D38" s="72" t="n">
        <f aca="false">Cap_02!D39</f>
        <v>74000</v>
      </c>
      <c r="E38" s="73" t="str">
        <f aca="false">Cap_02!E39</f>
        <v>OK</v>
      </c>
    </row>
    <row r="39" customFormat="false" ht="15" hidden="false" customHeight="true" outlineLevel="0" collapsed="false">
      <c r="A39" s="71" t="s">
        <v>18</v>
      </c>
      <c r="B39" s="71" t="s">
        <v>196</v>
      </c>
      <c r="C39" s="72" t="n">
        <f aca="false">Cap_02!B40</f>
        <v>84000</v>
      </c>
      <c r="D39" s="72" t="n">
        <f aca="false">Cap_02!D40</f>
        <v>84000</v>
      </c>
      <c r="E39" s="73" t="str">
        <f aca="false">Cap_02!E40</f>
        <v>OK</v>
      </c>
    </row>
    <row r="40" customFormat="false" ht="15" hidden="false" customHeight="true" outlineLevel="0" collapsed="false">
      <c r="A40" s="71" t="s">
        <v>18</v>
      </c>
      <c r="B40" s="71" t="s">
        <v>197</v>
      </c>
      <c r="C40" s="72" t="n">
        <f aca="false">Cap_02!B41</f>
        <v>224000</v>
      </c>
      <c r="D40" s="72" t="n">
        <f aca="false">Cap_02!D41</f>
        <v>224000</v>
      </c>
      <c r="E40" s="73" t="str">
        <f aca="false">Cap_02!E41</f>
        <v>OK</v>
      </c>
    </row>
    <row r="41" customFormat="false" ht="15" hidden="false" customHeight="true" outlineLevel="0" collapsed="false">
      <c r="A41" s="71" t="s">
        <v>18</v>
      </c>
      <c r="B41" s="71" t="s">
        <v>217</v>
      </c>
      <c r="C41" s="72" t="n">
        <f aca="false">Cap_02!B42</f>
        <v>820000</v>
      </c>
      <c r="D41" s="72" t="n">
        <f aca="false">Cap_02!D42</f>
        <v>820000</v>
      </c>
      <c r="E41" s="73" t="str">
        <f aca="false">Cap_02!E42</f>
        <v>OK</v>
      </c>
    </row>
    <row r="42" customFormat="false" ht="15" hidden="false" customHeight="true" outlineLevel="0" collapsed="false">
      <c r="A42" s="71" t="s">
        <v>18</v>
      </c>
      <c r="B42" s="71" t="s">
        <v>220</v>
      </c>
      <c r="C42" s="72" t="n">
        <f aca="false">Cap_02!B47</f>
        <v>820000</v>
      </c>
      <c r="D42" s="72" t="n">
        <f aca="false">Cap_02!D47</f>
        <v>820000</v>
      </c>
      <c r="E42" s="73" t="str">
        <f aca="false">Cap_02!E47</f>
        <v>OK</v>
      </c>
    </row>
    <row r="43" customFormat="false" ht="15" hidden="false" customHeight="true" outlineLevel="0" collapsed="false">
      <c r="A43" s="71" t="s">
        <v>18</v>
      </c>
      <c r="B43" s="71" t="s">
        <v>221</v>
      </c>
      <c r="C43" s="72" t="n">
        <f aca="false">Cap_02!B48</f>
        <v>0</v>
      </c>
      <c r="D43" s="72" t="n">
        <f aca="false">Cap_02!D48</f>
        <v>0</v>
      </c>
      <c r="E43" s="73" t="str">
        <f aca="false">Cap_02!E48</f>
        <v>OK</v>
      </c>
    </row>
    <row r="44" customFormat="false" ht="15" hidden="false" customHeight="true" outlineLevel="0" collapsed="false">
      <c r="A44" s="71" t="s">
        <v>18</v>
      </c>
      <c r="B44" s="71" t="s">
        <v>222</v>
      </c>
      <c r="C44" s="72" t="n">
        <f aca="false">Cap_02!B49</f>
        <v>0</v>
      </c>
      <c r="D44" s="72" t="n">
        <f aca="false">Cap_02!D49</f>
        <v>0</v>
      </c>
      <c r="E44" s="73" t="str">
        <f aca="false">Cap_02!E49</f>
        <v>OK</v>
      </c>
    </row>
    <row r="45" customFormat="false" ht="15" hidden="false" customHeight="true" outlineLevel="0" collapsed="false">
      <c r="A45" s="71" t="s">
        <v>18</v>
      </c>
      <c r="B45" s="71" t="s">
        <v>223</v>
      </c>
      <c r="C45" s="72" t="n">
        <f aca="false">Cap_02!B50</f>
        <v>0</v>
      </c>
      <c r="D45" s="72" t="n">
        <f aca="false">Cap_02!D50</f>
        <v>0</v>
      </c>
      <c r="E45" s="73" t="str">
        <f aca="false">Cap_02!E50</f>
        <v>OK</v>
      </c>
    </row>
    <row r="46" customFormat="false" ht="15" hidden="false" customHeight="true" outlineLevel="0" collapsed="false">
      <c r="A46" s="71" t="s">
        <v>18</v>
      </c>
      <c r="B46" s="71" t="s">
        <v>224</v>
      </c>
      <c r="C46" s="72" t="n">
        <f aca="false">Cap_02!B51</f>
        <v>0</v>
      </c>
      <c r="D46" s="72" t="n">
        <f aca="false">Cap_02!D51</f>
        <v>0</v>
      </c>
      <c r="E46" s="73" t="str">
        <f aca="false">Cap_02!E51</f>
        <v>OK</v>
      </c>
    </row>
    <row r="47" customFormat="false" ht="15" hidden="false" customHeight="true" outlineLevel="0" collapsed="false">
      <c r="A47" s="71" t="s">
        <v>18</v>
      </c>
      <c r="B47" s="71" t="s">
        <v>227</v>
      </c>
      <c r="C47" s="72" t="n">
        <f aca="false">Cap_02!B56</f>
        <v>3000</v>
      </c>
      <c r="D47" s="72" t="n">
        <f aca="false">Cap_02!D56</f>
        <v>3000</v>
      </c>
      <c r="E47" s="73" t="str">
        <f aca="false">Cap_02!E56</f>
        <v>OK</v>
      </c>
    </row>
    <row r="48" customFormat="false" ht="15" hidden="false" customHeight="true" outlineLevel="0" collapsed="false">
      <c r="A48" s="71" t="s">
        <v>18</v>
      </c>
      <c r="B48" s="71" t="s">
        <v>228</v>
      </c>
      <c r="C48" s="72" t="n">
        <f aca="false">Cap_02!B57</f>
        <v>84000</v>
      </c>
      <c r="D48" s="72" t="n">
        <f aca="false">Cap_02!D57</f>
        <v>84000</v>
      </c>
      <c r="E48" s="73" t="str">
        <f aca="false">Cap_02!E57</f>
        <v>OK</v>
      </c>
    </row>
    <row r="49" customFormat="false" ht="15" hidden="false" customHeight="true" outlineLevel="0" collapsed="false">
      <c r="A49" s="71" t="s">
        <v>18</v>
      </c>
      <c r="B49" s="71" t="s">
        <v>229</v>
      </c>
      <c r="C49" s="72" t="n">
        <f aca="false">Cap_02!B58</f>
        <v>0</v>
      </c>
      <c r="D49" s="72" t="n">
        <f aca="false">Cap_02!D58</f>
        <v>0</v>
      </c>
      <c r="E49" s="73" t="str">
        <f aca="false">Cap_02!E58</f>
        <v>OK</v>
      </c>
    </row>
    <row r="50" customFormat="false" ht="15" hidden="false" customHeight="true" outlineLevel="0" collapsed="false">
      <c r="A50" s="71" t="s">
        <v>21</v>
      </c>
      <c r="B50" s="71" t="s">
        <v>238</v>
      </c>
      <c r="C50" s="72" t="n">
        <f aca="false">Cap_03!B12</f>
        <v>4800</v>
      </c>
      <c r="D50" s="72" t="n">
        <f aca="false">Cap_03!D12</f>
        <v>4800</v>
      </c>
      <c r="E50" s="73" t="str">
        <f aca="false">Cap_03!E12</f>
        <v>OK</v>
      </c>
    </row>
    <row r="51" customFormat="false" ht="15" hidden="false" customHeight="true" outlineLevel="0" collapsed="false">
      <c r="A51" s="71" t="s">
        <v>21</v>
      </c>
      <c r="B51" s="71" t="s">
        <v>239</v>
      </c>
      <c r="C51" s="72" t="n">
        <f aca="false">Cap_03!B13</f>
        <v>3200</v>
      </c>
      <c r="D51" s="72" t="n">
        <f aca="false">Cap_03!D13</f>
        <v>3200</v>
      </c>
      <c r="E51" s="73" t="str">
        <f aca="false">Cap_03!E13</f>
        <v>OK</v>
      </c>
    </row>
    <row r="52" customFormat="false" ht="15" hidden="false" customHeight="true" outlineLevel="0" collapsed="false">
      <c r="A52" s="71" t="s">
        <v>21</v>
      </c>
      <c r="B52" s="71" t="s">
        <v>244</v>
      </c>
      <c r="C52" s="72" t="n">
        <f aca="false">Cap_03!B20</f>
        <v>100000</v>
      </c>
      <c r="D52" s="72" t="n">
        <f aca="false">Cap_03!D20</f>
        <v>100000</v>
      </c>
      <c r="E52" s="73" t="str">
        <f aca="false">Cap_03!E20</f>
        <v>OK</v>
      </c>
    </row>
    <row r="53" customFormat="false" ht="15" hidden="false" customHeight="true" outlineLevel="0" collapsed="false">
      <c r="A53" s="71" t="s">
        <v>21</v>
      </c>
      <c r="B53" s="71" t="s">
        <v>250</v>
      </c>
      <c r="C53" s="72" t="n">
        <f aca="false">Cap_03!B28</f>
        <v>4000</v>
      </c>
      <c r="D53" s="72" t="n">
        <f aca="false">Cap_03!D28</f>
        <v>4000</v>
      </c>
      <c r="E53" s="73" t="str">
        <f aca="false">Cap_03!E28</f>
        <v>OK</v>
      </c>
    </row>
    <row r="54" customFormat="false" ht="15" hidden="false" customHeight="true" outlineLevel="0" collapsed="false">
      <c r="A54" s="71" t="s">
        <v>21</v>
      </c>
      <c r="B54" s="71" t="s">
        <v>251</v>
      </c>
      <c r="C54" s="72" t="n">
        <f aca="false">Cap_03!B29</f>
        <v>6000</v>
      </c>
      <c r="D54" s="72" t="n">
        <f aca="false">Cap_03!D29</f>
        <v>6000</v>
      </c>
      <c r="E54" s="73" t="str">
        <f aca="false">Cap_03!E29</f>
        <v>OK</v>
      </c>
    </row>
    <row r="55" customFormat="false" ht="15" hidden="false" customHeight="true" outlineLevel="0" collapsed="false">
      <c r="A55" s="71" t="s">
        <v>21</v>
      </c>
      <c r="B55" s="71" t="s">
        <v>253</v>
      </c>
      <c r="C55" s="75" t="n">
        <f aca="false">Cap_03!B31</f>
        <v>10</v>
      </c>
      <c r="D55" s="75" t="n">
        <f aca="false">Cap_03!D31</f>
        <v>10</v>
      </c>
      <c r="E55" s="73" t="str">
        <f aca="false">Cap_03!E31</f>
        <v>OK</v>
      </c>
    </row>
    <row r="56" customFormat="false" ht="15" hidden="false" customHeight="true" outlineLevel="0" collapsed="false">
      <c r="A56" s="71" t="s">
        <v>21</v>
      </c>
      <c r="B56" s="71" t="s">
        <v>254</v>
      </c>
      <c r="C56" s="75" t="n">
        <f aca="false">Cap_03!B32</f>
        <v>6.66666666666667</v>
      </c>
      <c r="D56" s="75" t="n">
        <f aca="false">Cap_03!D32</f>
        <v>6.67</v>
      </c>
      <c r="E56" s="73" t="str">
        <f aca="false">Cap_03!E32</f>
        <v>OK</v>
      </c>
    </row>
    <row r="57" customFormat="false" ht="15" hidden="false" customHeight="true" outlineLevel="0" collapsed="false">
      <c r="A57" s="71" t="s">
        <v>21</v>
      </c>
      <c r="B57" s="71" t="s">
        <v>257</v>
      </c>
      <c r="C57" s="72" t="n">
        <f aca="false">Cap_03!B37</f>
        <v>3000</v>
      </c>
      <c r="D57" s="72" t="n">
        <f aca="false">Cap_03!D37</f>
        <v>3000</v>
      </c>
      <c r="E57" s="73" t="str">
        <f aca="false">Cap_03!E37</f>
        <v>OK</v>
      </c>
    </row>
    <row r="58" customFormat="false" ht="15" hidden="false" customHeight="true" outlineLevel="0" collapsed="false">
      <c r="A58" s="71" t="s">
        <v>21</v>
      </c>
      <c r="B58" s="71" t="s">
        <v>258</v>
      </c>
      <c r="C58" s="72" t="n">
        <f aca="false">Cap_03!B38</f>
        <v>3000</v>
      </c>
      <c r="D58" s="72" t="n">
        <f aca="false">Cap_03!D38</f>
        <v>3000</v>
      </c>
      <c r="E58" s="73" t="str">
        <f aca="false">Cap_03!E38</f>
        <v>OK</v>
      </c>
    </row>
    <row r="59" customFormat="false" ht="15" hidden="false" customHeight="true" outlineLevel="0" collapsed="false">
      <c r="A59" s="71" t="s">
        <v>21</v>
      </c>
      <c r="B59" s="71" t="s">
        <v>259</v>
      </c>
      <c r="C59" s="72" t="n">
        <f aca="false">Cap_03!B39</f>
        <v>0</v>
      </c>
      <c r="D59" s="72" t="n">
        <f aca="false">Cap_03!D39</f>
        <v>0</v>
      </c>
      <c r="E59" s="73" t="str">
        <f aca="false">Cap_03!E39</f>
        <v>OK</v>
      </c>
    </row>
    <row r="60" customFormat="false" ht="15" hidden="false" customHeight="true" outlineLevel="0" collapsed="false">
      <c r="A60" s="71" t="s">
        <v>21</v>
      </c>
      <c r="B60" s="71" t="s">
        <v>262</v>
      </c>
      <c r="C60" s="72" t="n">
        <f aca="false">Cap_03!B44</f>
        <v>254000</v>
      </c>
      <c r="D60" s="72" t="n">
        <f aca="false">Cap_03!D44</f>
        <v>254000</v>
      </c>
      <c r="E60" s="73" t="str">
        <f aca="false">Cap_03!E44</f>
        <v>OK</v>
      </c>
    </row>
    <row r="61" customFormat="false" ht="15" hidden="false" customHeight="true" outlineLevel="0" collapsed="false">
      <c r="A61" s="71" t="s">
        <v>21</v>
      </c>
      <c r="B61" s="71" t="s">
        <v>263</v>
      </c>
      <c r="C61" s="72" t="n">
        <f aca="false">Cap_03!B45</f>
        <v>84000</v>
      </c>
      <c r="D61" s="72" t="n">
        <f aca="false">Cap_03!D45</f>
        <v>84000</v>
      </c>
      <c r="E61" s="73" t="str">
        <f aca="false">Cap_03!E45</f>
        <v>OK</v>
      </c>
    </row>
    <row r="62" customFormat="false" ht="15" hidden="false" customHeight="true" outlineLevel="0" collapsed="false">
      <c r="A62" s="71" t="s">
        <v>21</v>
      </c>
      <c r="B62" s="71" t="s">
        <v>264</v>
      </c>
      <c r="C62" s="72" t="n">
        <f aca="false">Cap_03!B46</f>
        <v>392000</v>
      </c>
      <c r="D62" s="72" t="n">
        <f aca="false">Cap_03!D46</f>
        <v>392000</v>
      </c>
      <c r="E62" s="73" t="str">
        <f aca="false">Cap_03!E46</f>
        <v>OK</v>
      </c>
    </row>
    <row r="63" customFormat="false" ht="15" hidden="false" customHeight="true" outlineLevel="0" collapsed="false">
      <c r="A63" s="71" t="s">
        <v>21</v>
      </c>
      <c r="B63" s="71" t="s">
        <v>265</v>
      </c>
      <c r="C63" s="72" t="n">
        <f aca="false">Cap_03!B47</f>
        <v>174000</v>
      </c>
      <c r="D63" s="72" t="n">
        <f aca="false">Cap_03!D47</f>
        <v>174000</v>
      </c>
      <c r="E63" s="73" t="str">
        <f aca="false">Cap_03!E47</f>
        <v>OK</v>
      </c>
    </row>
    <row r="64" customFormat="false" ht="15" hidden="false" customHeight="true" outlineLevel="0" collapsed="false">
      <c r="A64" s="71" t="s">
        <v>21</v>
      </c>
      <c r="B64" s="71" t="s">
        <v>266</v>
      </c>
      <c r="C64" s="72" t="n">
        <f aca="false">Cap_03!B48</f>
        <v>820000</v>
      </c>
      <c r="D64" s="72" t="n">
        <f aca="false">Cap_03!D48</f>
        <v>820000</v>
      </c>
      <c r="E64" s="73" t="str">
        <f aca="false">Cap_03!E48</f>
        <v>OK</v>
      </c>
    </row>
    <row r="65" customFormat="false" ht="15" hidden="false" customHeight="true" outlineLevel="0" collapsed="false">
      <c r="A65" s="71" t="s">
        <v>24</v>
      </c>
      <c r="B65" s="71" t="s">
        <v>274</v>
      </c>
      <c r="C65" s="72" t="n">
        <f aca="false">Cap_04!B13</f>
        <v>6000</v>
      </c>
      <c r="D65" s="72" t="n">
        <f aca="false">Cap_04!D13</f>
        <v>6000</v>
      </c>
      <c r="E65" s="73" t="str">
        <f aca="false">Cap_04!E13</f>
        <v>OK</v>
      </c>
    </row>
    <row r="66" customFormat="false" ht="15" hidden="false" customHeight="true" outlineLevel="0" collapsed="false">
      <c r="A66" s="71" t="s">
        <v>24</v>
      </c>
      <c r="B66" s="71" t="s">
        <v>275</v>
      </c>
      <c r="C66" s="72" t="n">
        <f aca="false">Cap_04!B14</f>
        <v>9000</v>
      </c>
      <c r="D66" s="72" t="n">
        <f aca="false">Cap_04!D14</f>
        <v>9000</v>
      </c>
      <c r="E66" s="73" t="str">
        <f aca="false">Cap_04!E14</f>
        <v>OK</v>
      </c>
    </row>
    <row r="67" customFormat="false" ht="15" hidden="false" customHeight="true" outlineLevel="0" collapsed="false">
      <c r="A67" s="71" t="s">
        <v>24</v>
      </c>
      <c r="B67" s="71" t="s">
        <v>276</v>
      </c>
      <c r="C67" s="72" t="n">
        <f aca="false">Cap_04!B15</f>
        <v>12000</v>
      </c>
      <c r="D67" s="72" t="n">
        <f aca="false">Cap_04!D15</f>
        <v>12000</v>
      </c>
      <c r="E67" s="73" t="str">
        <f aca="false">Cap_04!E15</f>
        <v>OK</v>
      </c>
    </row>
    <row r="68" customFormat="false" ht="15" hidden="false" customHeight="true" outlineLevel="0" collapsed="false">
      <c r="A68" s="71" t="s">
        <v>24</v>
      </c>
      <c r="B68" s="71" t="s">
        <v>279</v>
      </c>
      <c r="C68" s="75" t="n">
        <f aca="false">Cap_04!B21</f>
        <v>12</v>
      </c>
      <c r="D68" s="75" t="n">
        <f aca="false">Cap_04!D21</f>
        <v>12</v>
      </c>
      <c r="E68" s="73" t="str">
        <f aca="false">Cap_04!E21</f>
        <v>OK</v>
      </c>
    </row>
    <row r="69" customFormat="false" ht="15" hidden="false" customHeight="true" outlineLevel="0" collapsed="false">
      <c r="A69" s="71" t="s">
        <v>24</v>
      </c>
      <c r="B69" s="71" t="s">
        <v>280</v>
      </c>
      <c r="C69" s="75" t="n">
        <f aca="false">Cap_04!B22</f>
        <v>8</v>
      </c>
      <c r="D69" s="75" t="n">
        <f aca="false">Cap_04!D22</f>
        <v>8</v>
      </c>
      <c r="E69" s="73" t="str">
        <f aca="false">Cap_04!E22</f>
        <v>OK</v>
      </c>
    </row>
    <row r="70" customFormat="false" ht="15" hidden="false" customHeight="true" outlineLevel="0" collapsed="false">
      <c r="A70" s="71" t="s">
        <v>24</v>
      </c>
      <c r="B70" s="71" t="s">
        <v>281</v>
      </c>
      <c r="C70" s="75" t="n">
        <f aca="false">Cap_04!B23</f>
        <v>6</v>
      </c>
      <c r="D70" s="75" t="n">
        <f aca="false">Cap_04!D23</f>
        <v>6</v>
      </c>
      <c r="E70" s="73" t="str">
        <f aca="false">Cap_04!E23</f>
        <v>OK</v>
      </c>
    </row>
    <row r="71" customFormat="false" ht="15" hidden="false" customHeight="true" outlineLevel="0" collapsed="false">
      <c r="A71" s="71" t="s">
        <v>24</v>
      </c>
      <c r="B71" s="71" t="s">
        <v>287</v>
      </c>
      <c r="C71" s="75" t="n">
        <f aca="false">Cap_04!B31</f>
        <v>10</v>
      </c>
      <c r="D71" s="75" t="n">
        <f aca="false">Cap_04!D31</f>
        <v>10</v>
      </c>
      <c r="E71" s="73" t="str">
        <f aca="false">Cap_04!E31</f>
        <v>OK</v>
      </c>
    </row>
    <row r="72" customFormat="false" ht="15" hidden="false" customHeight="true" outlineLevel="0" collapsed="false">
      <c r="A72" s="71" t="s">
        <v>24</v>
      </c>
      <c r="B72" s="71" t="s">
        <v>288</v>
      </c>
      <c r="C72" s="72" t="n">
        <f aca="false">Cap_04!B32</f>
        <v>30000</v>
      </c>
      <c r="D72" s="72" t="n">
        <f aca="false">Cap_04!D32</f>
        <v>30000</v>
      </c>
      <c r="E72" s="73" t="str">
        <f aca="false">Cap_04!E32</f>
        <v>OK</v>
      </c>
    </row>
    <row r="73" customFormat="false" ht="15" hidden="false" customHeight="true" outlineLevel="0" collapsed="false">
      <c r="A73" s="71" t="s">
        <v>24</v>
      </c>
      <c r="B73" s="71" t="s">
        <v>295</v>
      </c>
      <c r="C73" s="72" t="n">
        <f aca="false">Cap_04!B41</f>
        <v>4000</v>
      </c>
      <c r="D73" s="72" t="n">
        <f aca="false">Cap_04!D41</f>
        <v>4000</v>
      </c>
      <c r="E73" s="73" t="str">
        <f aca="false">Cap_04!E41</f>
        <v>OK</v>
      </c>
    </row>
    <row r="74" customFormat="false" ht="15" hidden="false" customHeight="true" outlineLevel="0" collapsed="false">
      <c r="A74" s="71" t="s">
        <v>24</v>
      </c>
      <c r="B74" s="71" t="s">
        <v>296</v>
      </c>
      <c r="C74" s="72" t="n">
        <f aca="false">Cap_04!B42</f>
        <v>12000</v>
      </c>
      <c r="D74" s="72" t="n">
        <f aca="false">Cap_04!D42</f>
        <v>12000</v>
      </c>
      <c r="E74" s="73" t="str">
        <f aca="false">Cap_04!E42</f>
        <v>OK</v>
      </c>
    </row>
    <row r="75" customFormat="false" ht="15" hidden="false" customHeight="true" outlineLevel="0" collapsed="false">
      <c r="A75" s="71" t="s">
        <v>24</v>
      </c>
      <c r="B75" s="71" t="s">
        <v>297</v>
      </c>
      <c r="C75" s="75" t="n">
        <f aca="false">Cap_04!B43</f>
        <v>3</v>
      </c>
      <c r="D75" s="75" t="n">
        <f aca="false">Cap_04!D43</f>
        <v>3</v>
      </c>
      <c r="E75" s="73" t="str">
        <f aca="false">Cap_04!E43</f>
        <v>OK</v>
      </c>
    </row>
    <row r="76" customFormat="false" ht="15" hidden="false" customHeight="true" outlineLevel="0" collapsed="false">
      <c r="A76" s="71" t="s">
        <v>24</v>
      </c>
      <c r="B76" s="71" t="s">
        <v>298</v>
      </c>
      <c r="C76" s="72" t="n">
        <f aca="false">Cap_04!B44</f>
        <v>10000</v>
      </c>
      <c r="D76" s="72" t="n">
        <f aca="false">Cap_04!D44</f>
        <v>10000</v>
      </c>
      <c r="E76" s="73" t="str">
        <f aca="false">Cap_04!E44</f>
        <v>OK</v>
      </c>
    </row>
    <row r="77" customFormat="false" ht="15" hidden="false" customHeight="true" outlineLevel="0" collapsed="false">
      <c r="A77" s="71" t="s">
        <v>24</v>
      </c>
      <c r="B77" s="71" t="s">
        <v>299</v>
      </c>
      <c r="C77" s="72" t="n">
        <f aca="false">Cap_04!B45</f>
        <v>0</v>
      </c>
      <c r="D77" s="72" t="n">
        <f aca="false">Cap_04!D45</f>
        <v>0</v>
      </c>
      <c r="E77" s="73" t="str">
        <f aca="false">Cap_04!E45</f>
        <v>OK</v>
      </c>
    </row>
    <row r="78" customFormat="false" ht="15" hidden="false" customHeight="true" outlineLevel="0" collapsed="false">
      <c r="A78" s="71" t="s">
        <v>24</v>
      </c>
      <c r="B78" s="71" t="s">
        <v>166</v>
      </c>
      <c r="C78" s="72" t="n">
        <f aca="false">Cap_04!B55</f>
        <v>84000</v>
      </c>
      <c r="D78" s="72" t="n">
        <f aca="false">Cap_04!D55</f>
        <v>84000</v>
      </c>
      <c r="E78" s="73" t="str">
        <f aca="false">Cap_04!E55</f>
        <v>OK</v>
      </c>
    </row>
    <row r="79" customFormat="false" ht="15" hidden="false" customHeight="true" outlineLevel="0" collapsed="false">
      <c r="A79" s="71" t="s">
        <v>24</v>
      </c>
      <c r="B79" s="71" t="s">
        <v>307</v>
      </c>
      <c r="C79" s="72" t="n">
        <f aca="false">Cap_04!B56</f>
        <v>8000</v>
      </c>
      <c r="D79" s="72" t="n">
        <f aca="false">Cap_04!D56</f>
        <v>8000</v>
      </c>
      <c r="E79" s="73" t="str">
        <f aca="false">Cap_04!E56</f>
        <v>OK</v>
      </c>
    </row>
    <row r="80" customFormat="false" ht="15" hidden="false" customHeight="true" outlineLevel="0" collapsed="false">
      <c r="A80" s="71" t="s">
        <v>24</v>
      </c>
      <c r="B80" s="71" t="s">
        <v>308</v>
      </c>
      <c r="C80" s="72" t="n">
        <f aca="false">Cap_04!B57</f>
        <v>162000</v>
      </c>
      <c r="D80" s="72" t="n">
        <f aca="false">Cap_04!D57</f>
        <v>162000</v>
      </c>
      <c r="E80" s="73" t="str">
        <f aca="false">Cap_04!E57</f>
        <v>OK</v>
      </c>
    </row>
    <row r="81" customFormat="false" ht="15" hidden="false" customHeight="true" outlineLevel="0" collapsed="false">
      <c r="A81" s="71" t="s">
        <v>24</v>
      </c>
      <c r="B81" s="71" t="s">
        <v>311</v>
      </c>
      <c r="C81" s="72" t="n">
        <f aca="false">Cap_04!B62</f>
        <v>2324000</v>
      </c>
      <c r="D81" s="72" t="n">
        <f aca="false">Cap_04!D62</f>
        <v>2324000</v>
      </c>
      <c r="E81" s="73" t="str">
        <f aca="false">Cap_04!E62</f>
        <v>OK</v>
      </c>
    </row>
    <row r="82" customFormat="false" ht="15" hidden="false" customHeight="true" outlineLevel="0" collapsed="false">
      <c r="A82" s="71" t="s">
        <v>24</v>
      </c>
      <c r="B82" s="71" t="s">
        <v>312</v>
      </c>
      <c r="C82" s="72" t="n">
        <f aca="false">Cap_04!B63</f>
        <v>736000</v>
      </c>
      <c r="D82" s="72" t="n">
        <f aca="false">Cap_04!D63</f>
        <v>736000</v>
      </c>
      <c r="E82" s="73" t="str">
        <f aca="false">Cap_04!E63</f>
        <v>OK</v>
      </c>
    </row>
    <row r="83" customFormat="false" ht="15" hidden="false" customHeight="true" outlineLevel="0" collapsed="false">
      <c r="A83" s="71" t="s">
        <v>24</v>
      </c>
      <c r="B83" s="71" t="s">
        <v>313</v>
      </c>
      <c r="C83" s="72" t="n">
        <f aca="false">Cap_04!B64</f>
        <v>84000</v>
      </c>
      <c r="D83" s="72" t="n">
        <f aca="false">Cap_04!D64</f>
        <v>84000</v>
      </c>
      <c r="E83" s="73" t="str">
        <f aca="false">Cap_04!E64</f>
        <v>OK</v>
      </c>
    </row>
    <row r="84" customFormat="false" ht="15" hidden="false" customHeight="true" outlineLevel="0" collapsed="false">
      <c r="A84" s="71" t="s">
        <v>24</v>
      </c>
      <c r="B84" s="71" t="s">
        <v>314</v>
      </c>
      <c r="C84" s="72" t="n">
        <f aca="false">Cap_04!B65</f>
        <v>3144000</v>
      </c>
      <c r="D84" s="72" t="n">
        <f aca="false">Cap_04!D65</f>
        <v>3144000</v>
      </c>
      <c r="E84" s="73" t="str">
        <f aca="false">Cap_04!E65</f>
        <v>OK</v>
      </c>
    </row>
    <row r="85" customFormat="false" ht="15" hidden="false" customHeight="true" outlineLevel="0" collapsed="false">
      <c r="A85" s="71" t="s">
        <v>24</v>
      </c>
      <c r="B85" s="71" t="s">
        <v>315</v>
      </c>
      <c r="C85" s="72" t="n">
        <f aca="false">Cap_04!B66</f>
        <v>0</v>
      </c>
      <c r="D85" s="72" t="n">
        <f aca="false">Cap_04!D66</f>
        <v>0</v>
      </c>
      <c r="E85" s="73" t="str">
        <f aca="false">Cap_04!E66</f>
        <v>OK</v>
      </c>
    </row>
    <row r="86" customFormat="false" ht="15" hidden="false" customHeight="true" outlineLevel="0" collapsed="false">
      <c r="A86" s="71" t="s">
        <v>24</v>
      </c>
      <c r="B86" s="71" t="s">
        <v>320</v>
      </c>
      <c r="C86" s="72" t="n">
        <f aca="false">Cap_04!B72</f>
        <v>17600</v>
      </c>
      <c r="D86" s="72" t="n">
        <f aca="false">Cap_04!D72</f>
        <v>17600</v>
      </c>
      <c r="E86" s="73" t="str">
        <f aca="false">Cap_04!E72</f>
        <v>OK</v>
      </c>
    </row>
    <row r="87" customFormat="false" ht="15" hidden="false" customHeight="true" outlineLevel="0" collapsed="false">
      <c r="A87" s="71" t="s">
        <v>24</v>
      </c>
      <c r="B87" s="71" t="s">
        <v>321</v>
      </c>
      <c r="C87" s="72" t="n">
        <f aca="false">Cap_04!B73</f>
        <v>19200</v>
      </c>
      <c r="D87" s="72" t="n">
        <f aca="false">Cap_04!D73</f>
        <v>19200</v>
      </c>
      <c r="E87" s="73" t="str">
        <f aca="false">Cap_04!E73</f>
        <v>OK</v>
      </c>
    </row>
    <row r="88" customFormat="false" ht="15" hidden="false" customHeight="true" outlineLevel="0" collapsed="false">
      <c r="A88" s="71" t="s">
        <v>24</v>
      </c>
      <c r="B88" s="71" t="s">
        <v>322</v>
      </c>
      <c r="C88" s="72" t="n">
        <f aca="false">Cap_04!B74</f>
        <v>1859200</v>
      </c>
      <c r="D88" s="72" t="n">
        <f aca="false">Cap_04!D74</f>
        <v>1859200</v>
      </c>
      <c r="E88" s="73" t="str">
        <f aca="false">Cap_04!E74</f>
        <v>OK</v>
      </c>
    </row>
    <row r="89" customFormat="false" ht="15" hidden="false" customHeight="true" outlineLevel="0" collapsed="false">
      <c r="A89" s="71" t="s">
        <v>24</v>
      </c>
      <c r="B89" s="71" t="s">
        <v>323</v>
      </c>
      <c r="C89" s="72" t="n">
        <f aca="false">Cap_04!B75</f>
        <v>0</v>
      </c>
      <c r="D89" s="72" t="n">
        <f aca="false">Cap_04!D75</f>
        <v>0</v>
      </c>
      <c r="E89" s="73" t="str">
        <f aca="false">Cap_04!E75</f>
        <v>OK</v>
      </c>
    </row>
    <row r="90" customFormat="false" ht="15" hidden="false" customHeight="true" outlineLevel="0" collapsed="false">
      <c r="A90" s="71" t="s">
        <v>24</v>
      </c>
      <c r="B90" s="71" t="s">
        <v>324</v>
      </c>
      <c r="C90" s="72" t="n">
        <f aca="false">Cap_04!B76</f>
        <v>0</v>
      </c>
      <c r="D90" s="72" t="n">
        <f aca="false">Cap_04!D76</f>
        <v>0</v>
      </c>
      <c r="E90" s="73" t="str">
        <f aca="false">Cap_04!E76</f>
        <v>OK</v>
      </c>
    </row>
    <row r="91" customFormat="false" ht="15" hidden="false" customHeight="true" outlineLevel="0" collapsed="false">
      <c r="A91" s="71" t="s">
        <v>24</v>
      </c>
      <c r="B91" s="71" t="s">
        <v>325</v>
      </c>
      <c r="C91" s="72" t="n">
        <f aca="false">Cap_04!B77</f>
        <v>2595200</v>
      </c>
      <c r="D91" s="72" t="n">
        <f aca="false">Cap_04!D77</f>
        <v>2595200</v>
      </c>
      <c r="E91" s="73" t="str">
        <f aca="false">Cap_04!E77</f>
        <v>OK</v>
      </c>
    </row>
    <row r="92" customFormat="false" ht="15" hidden="false" customHeight="true" outlineLevel="0" collapsed="false">
      <c r="A92" s="71" t="s">
        <v>24</v>
      </c>
      <c r="B92" s="71" t="s">
        <v>326</v>
      </c>
      <c r="C92" s="75" t="n">
        <f aca="false">Cap_04!B78</f>
        <v>38.3333333333333</v>
      </c>
      <c r="D92" s="75" t="n">
        <f aca="false">Cap_04!D78</f>
        <v>38.33</v>
      </c>
      <c r="E92" s="73" t="str">
        <f aca="false">Cap_04!E78</f>
        <v>OK</v>
      </c>
    </row>
    <row r="93" customFormat="false" ht="15" hidden="false" customHeight="true" outlineLevel="0" collapsed="false">
      <c r="A93" s="71" t="s">
        <v>24</v>
      </c>
      <c r="B93" s="71" t="s">
        <v>328</v>
      </c>
      <c r="C93" s="72" t="n">
        <f aca="false">Cap_04!B80</f>
        <v>19250</v>
      </c>
      <c r="D93" s="72" t="n">
        <f aca="false">Cap_04!D80</f>
        <v>19250</v>
      </c>
      <c r="E93" s="73" t="str">
        <f aca="false">Cap_04!E80</f>
        <v>OK</v>
      </c>
    </row>
    <row r="94" customFormat="false" ht="15" hidden="false" customHeight="true" outlineLevel="0" collapsed="false">
      <c r="A94" s="71" t="s">
        <v>24</v>
      </c>
      <c r="B94" s="71" t="s">
        <v>329</v>
      </c>
      <c r="C94" s="72" t="n">
        <f aca="false">Cap_04!B81</f>
        <v>21000</v>
      </c>
      <c r="D94" s="72" t="n">
        <f aca="false">Cap_04!D81</f>
        <v>21000</v>
      </c>
      <c r="E94" s="73" t="str">
        <f aca="false">Cap_04!E81</f>
        <v>OK</v>
      </c>
    </row>
    <row r="95" customFormat="false" ht="15" hidden="false" customHeight="true" outlineLevel="0" collapsed="false">
      <c r="A95" s="71" t="s">
        <v>24</v>
      </c>
      <c r="B95" s="71" t="s">
        <v>330</v>
      </c>
      <c r="C95" s="72" t="n">
        <f aca="false">Cap_04!B82</f>
        <v>2033500</v>
      </c>
      <c r="D95" s="72" t="n">
        <f aca="false">Cap_04!D82</f>
        <v>2033500</v>
      </c>
      <c r="E95" s="73" t="str">
        <f aca="false">Cap_04!E82</f>
        <v>OK</v>
      </c>
    </row>
    <row r="96" customFormat="false" ht="15" hidden="false" customHeight="true" outlineLevel="0" collapsed="false">
      <c r="A96" s="71" t="s">
        <v>24</v>
      </c>
      <c r="B96" s="71" t="s">
        <v>331</v>
      </c>
      <c r="C96" s="72" t="n">
        <f aca="false">Cap_04!B83</f>
        <v>0</v>
      </c>
      <c r="D96" s="72" t="n">
        <f aca="false">Cap_04!D83</f>
        <v>0</v>
      </c>
      <c r="E96" s="73" t="str">
        <f aca="false">Cap_04!E83</f>
        <v>OK</v>
      </c>
    </row>
    <row r="97" customFormat="false" ht="15" hidden="false" customHeight="true" outlineLevel="0" collapsed="false">
      <c r="A97" s="71" t="s">
        <v>24</v>
      </c>
      <c r="B97" s="71" t="s">
        <v>332</v>
      </c>
      <c r="C97" s="72" t="n">
        <f aca="false">Cap_04!B84</f>
        <v>0</v>
      </c>
      <c r="D97" s="72" t="n">
        <f aca="false">Cap_04!D84</f>
        <v>0</v>
      </c>
      <c r="E97" s="73" t="str">
        <f aca="false">Cap_04!E84</f>
        <v>OK</v>
      </c>
    </row>
    <row r="98" customFormat="false" ht="15" hidden="false" customHeight="true" outlineLevel="0" collapsed="false">
      <c r="A98" s="71" t="s">
        <v>24</v>
      </c>
      <c r="B98" s="71" t="s">
        <v>333</v>
      </c>
      <c r="C98" s="72" t="n">
        <f aca="false">Cap_04!B85</f>
        <v>2769500</v>
      </c>
      <c r="D98" s="72" t="n">
        <f aca="false">Cap_04!D85</f>
        <v>2769500</v>
      </c>
      <c r="E98" s="73" t="str">
        <f aca="false">Cap_04!E85</f>
        <v>OK</v>
      </c>
    </row>
    <row r="99" customFormat="false" ht="15" hidden="false" customHeight="true" outlineLevel="0" collapsed="false">
      <c r="A99" s="71" t="s">
        <v>24</v>
      </c>
      <c r="B99" s="71" t="s">
        <v>334</v>
      </c>
      <c r="C99" s="75" t="n">
        <f aca="false">Cap_04!B86</f>
        <v>35.0476190476191</v>
      </c>
      <c r="D99" s="75" t="n">
        <f aca="false">Cap_04!D86</f>
        <v>35.05</v>
      </c>
      <c r="E99" s="73" t="str">
        <f aca="false">Cap_04!E86</f>
        <v>OK</v>
      </c>
    </row>
    <row r="100" customFormat="false" ht="15" hidden="false" customHeight="true" outlineLevel="0" collapsed="false">
      <c r="A100" s="71" t="s">
        <v>24</v>
      </c>
      <c r="B100" s="71" t="s">
        <v>336</v>
      </c>
      <c r="C100" s="72" t="n">
        <f aca="false">Cap_04!B88</f>
        <v>19800</v>
      </c>
      <c r="D100" s="72" t="n">
        <f aca="false">Cap_04!D88</f>
        <v>19800</v>
      </c>
      <c r="E100" s="73" t="str">
        <f aca="false">Cap_04!E88</f>
        <v>OK</v>
      </c>
    </row>
    <row r="101" customFormat="false" ht="15" hidden="false" customHeight="true" outlineLevel="0" collapsed="false">
      <c r="A101" s="71" t="s">
        <v>24</v>
      </c>
      <c r="B101" s="71" t="s">
        <v>337</v>
      </c>
      <c r="C101" s="72" t="n">
        <f aca="false">Cap_04!B89</f>
        <v>21600</v>
      </c>
      <c r="D101" s="72" t="n">
        <f aca="false">Cap_04!D89</f>
        <v>21600</v>
      </c>
      <c r="E101" s="73" t="str">
        <f aca="false">Cap_04!E89</f>
        <v>OK</v>
      </c>
    </row>
    <row r="102" customFormat="false" ht="15" hidden="false" customHeight="true" outlineLevel="0" collapsed="false">
      <c r="A102" s="71" t="s">
        <v>24</v>
      </c>
      <c r="B102" s="71" t="s">
        <v>338</v>
      </c>
      <c r="C102" s="72" t="n">
        <f aca="false">Cap_04!B90</f>
        <v>2091600</v>
      </c>
      <c r="D102" s="72" t="n">
        <f aca="false">Cap_04!D90</f>
        <v>2091600</v>
      </c>
      <c r="E102" s="73" t="str">
        <f aca="false">Cap_04!E90</f>
        <v>OK</v>
      </c>
    </row>
    <row r="103" customFormat="false" ht="15" hidden="false" customHeight="true" outlineLevel="0" collapsed="false">
      <c r="A103" s="71" t="s">
        <v>24</v>
      </c>
      <c r="B103" s="71" t="s">
        <v>339</v>
      </c>
      <c r="C103" s="72" t="n">
        <f aca="false">Cap_04!B91</f>
        <v>600</v>
      </c>
      <c r="D103" s="72" t="n">
        <f aca="false">Cap_04!D91</f>
        <v>600</v>
      </c>
      <c r="E103" s="73" t="str">
        <f aca="false">Cap_04!E91</f>
        <v>OK</v>
      </c>
    </row>
    <row r="104" customFormat="false" ht="15" hidden="false" customHeight="true" outlineLevel="0" collapsed="false">
      <c r="A104" s="71" t="s">
        <v>24</v>
      </c>
      <c r="B104" s="71" t="s">
        <v>340</v>
      </c>
      <c r="C104" s="72" t="n">
        <f aca="false">Cap_04!B92</f>
        <v>16800</v>
      </c>
      <c r="D104" s="72" t="n">
        <f aca="false">Cap_04!D92</f>
        <v>16800</v>
      </c>
      <c r="E104" s="73" t="str">
        <f aca="false">Cap_04!E92</f>
        <v>OK</v>
      </c>
    </row>
    <row r="105" customFormat="false" ht="15" hidden="false" customHeight="true" outlineLevel="0" collapsed="false">
      <c r="A105" s="71" t="s">
        <v>24</v>
      </c>
      <c r="B105" s="71" t="s">
        <v>341</v>
      </c>
      <c r="C105" s="72" t="n">
        <f aca="false">Cap_04!B93</f>
        <v>2844400</v>
      </c>
      <c r="D105" s="72" t="n">
        <f aca="false">Cap_04!D93</f>
        <v>2844400</v>
      </c>
      <c r="E105" s="73" t="str">
        <f aca="false">Cap_04!E93</f>
        <v>OK</v>
      </c>
    </row>
    <row r="106" customFormat="false" ht="15" hidden="false" customHeight="true" outlineLevel="0" collapsed="false">
      <c r="A106" s="71" t="s">
        <v>24</v>
      </c>
      <c r="B106" s="71" t="s">
        <v>342</v>
      </c>
      <c r="C106" s="75" t="n">
        <f aca="false">Cap_04!B94</f>
        <v>34.0740740740741</v>
      </c>
      <c r="D106" s="75" t="n">
        <f aca="false">Cap_04!D94</f>
        <v>34.07</v>
      </c>
      <c r="E106" s="73" t="str">
        <f aca="false">Cap_04!E94</f>
        <v>OK</v>
      </c>
    </row>
    <row r="107" customFormat="false" ht="15" hidden="false" customHeight="true" outlineLevel="0" collapsed="false">
      <c r="A107" s="71" t="s">
        <v>24</v>
      </c>
      <c r="B107" s="71" t="s">
        <v>344</v>
      </c>
      <c r="C107" s="72" t="n">
        <f aca="false">Cap_04!B96</f>
        <v>22000</v>
      </c>
      <c r="D107" s="72" t="n">
        <f aca="false">Cap_04!D96</f>
        <v>22000</v>
      </c>
      <c r="E107" s="73" t="str">
        <f aca="false">Cap_04!E96</f>
        <v>OK</v>
      </c>
    </row>
    <row r="108" customFormat="false" ht="15" hidden="false" customHeight="true" outlineLevel="0" collapsed="false">
      <c r="A108" s="71" t="s">
        <v>24</v>
      </c>
      <c r="B108" s="71" t="s">
        <v>345</v>
      </c>
      <c r="C108" s="72" t="n">
        <f aca="false">Cap_04!B97</f>
        <v>24000</v>
      </c>
      <c r="D108" s="72" t="n">
        <f aca="false">Cap_04!D97</f>
        <v>24000</v>
      </c>
      <c r="E108" s="73" t="str">
        <f aca="false">Cap_04!E97</f>
        <v>OK</v>
      </c>
    </row>
    <row r="109" customFormat="false" ht="15" hidden="false" customHeight="true" outlineLevel="0" collapsed="false">
      <c r="A109" s="71" t="s">
        <v>24</v>
      </c>
      <c r="B109" s="71" t="s">
        <v>346</v>
      </c>
      <c r="C109" s="72" t="n">
        <f aca="false">Cap_04!B98</f>
        <v>2324000</v>
      </c>
      <c r="D109" s="72" t="n">
        <f aca="false">Cap_04!D98</f>
        <v>2324000</v>
      </c>
      <c r="E109" s="73" t="str">
        <f aca="false">Cap_04!E98</f>
        <v>OK</v>
      </c>
    </row>
    <row r="110" customFormat="false" ht="15" hidden="false" customHeight="true" outlineLevel="0" collapsed="false">
      <c r="A110" s="71" t="s">
        <v>24</v>
      </c>
      <c r="B110" s="71" t="s">
        <v>347</v>
      </c>
      <c r="C110" s="72" t="n">
        <f aca="false">Cap_04!B99</f>
        <v>3000</v>
      </c>
      <c r="D110" s="72" t="n">
        <f aca="false">Cap_04!D99</f>
        <v>3000</v>
      </c>
      <c r="E110" s="73" t="str">
        <f aca="false">Cap_04!E99</f>
        <v>OK</v>
      </c>
    </row>
    <row r="111" customFormat="false" ht="15" hidden="false" customHeight="true" outlineLevel="0" collapsed="false">
      <c r="A111" s="71" t="s">
        <v>24</v>
      </c>
      <c r="B111" s="71" t="s">
        <v>348</v>
      </c>
      <c r="C111" s="72" t="n">
        <f aca="false">Cap_04!B100</f>
        <v>84000</v>
      </c>
      <c r="D111" s="72" t="n">
        <f aca="false">Cap_04!D100</f>
        <v>84000</v>
      </c>
      <c r="E111" s="73" t="str">
        <f aca="false">Cap_04!E100</f>
        <v>OK</v>
      </c>
    </row>
    <row r="112" customFormat="false" ht="15" hidden="false" customHeight="true" outlineLevel="0" collapsed="false">
      <c r="A112" s="71" t="s">
        <v>24</v>
      </c>
      <c r="B112" s="71" t="s">
        <v>349</v>
      </c>
      <c r="C112" s="72" t="n">
        <f aca="false">Cap_04!B101</f>
        <v>3144000</v>
      </c>
      <c r="D112" s="72" t="n">
        <f aca="false">Cap_04!D101</f>
        <v>3144000</v>
      </c>
      <c r="E112" s="73" t="str">
        <f aca="false">Cap_04!E101</f>
        <v>OK</v>
      </c>
    </row>
    <row r="113" customFormat="false" ht="15" hidden="false" customHeight="true" outlineLevel="0" collapsed="false">
      <c r="A113" s="71" t="s">
        <v>24</v>
      </c>
      <c r="B113" s="71" t="s">
        <v>350</v>
      </c>
      <c r="C113" s="75" t="n">
        <f aca="false">Cap_04!B102</f>
        <v>30.6666666666667</v>
      </c>
      <c r="D113" s="75" t="n">
        <f aca="false">Cap_04!D102</f>
        <v>30.67</v>
      </c>
      <c r="E113" s="73" t="str">
        <f aca="false">Cap_04!E102</f>
        <v>OK</v>
      </c>
    </row>
    <row r="114" customFormat="false" ht="15" hidden="false" customHeight="true" outlineLevel="0" collapsed="false">
      <c r="A114" s="71" t="s">
        <v>24</v>
      </c>
      <c r="B114" s="71" t="s">
        <v>353</v>
      </c>
      <c r="C114" s="72" t="n">
        <f aca="false">Cap_04!B107</f>
        <v>1800</v>
      </c>
      <c r="D114" s="72" t="n">
        <f aca="false">Cap_04!D107</f>
        <v>1800</v>
      </c>
      <c r="E114" s="73" t="str">
        <f aca="false">Cap_04!E107</f>
        <v>OK</v>
      </c>
    </row>
    <row r="115" customFormat="false" ht="15" hidden="false" customHeight="true" outlineLevel="0" collapsed="false">
      <c r="A115" s="71" t="s">
        <v>24</v>
      </c>
      <c r="B115" s="71" t="s">
        <v>354</v>
      </c>
      <c r="C115" s="72" t="n">
        <f aca="false">Cap_04!B108</f>
        <v>120000</v>
      </c>
      <c r="D115" s="72" t="n">
        <f aca="false">Cap_04!D108</f>
        <v>120000</v>
      </c>
      <c r="E115" s="73" t="str">
        <f aca="false">Cap_04!E108</f>
        <v>OK</v>
      </c>
    </row>
    <row r="116" customFormat="false" ht="15" hidden="false" customHeight="true" outlineLevel="0" collapsed="false">
      <c r="A116" s="71" t="s">
        <v>24</v>
      </c>
      <c r="B116" s="71" t="s">
        <v>355</v>
      </c>
      <c r="C116" s="75" t="n">
        <f aca="false">Cap_04!B109</f>
        <v>5.71428571428571</v>
      </c>
      <c r="D116" s="75" t="n">
        <f aca="false">Cap_04!D109</f>
        <v>5.71</v>
      </c>
      <c r="E116" s="73" t="str">
        <f aca="false">Cap_04!E109</f>
        <v>OK</v>
      </c>
    </row>
    <row r="117" customFormat="false" ht="15" hidden="false" customHeight="true" outlineLevel="0" collapsed="false">
      <c r="A117" s="71" t="s">
        <v>24</v>
      </c>
      <c r="B117" s="71" t="s">
        <v>356</v>
      </c>
      <c r="C117" s="72" t="n">
        <f aca="false">Cap_04!B110</f>
        <v>10285.7142857143</v>
      </c>
      <c r="D117" s="72" t="n">
        <f aca="false">Cap_04!D110</f>
        <v>10286</v>
      </c>
      <c r="E117" s="73" t="str">
        <f aca="false">Cap_04!E110</f>
        <v>OK</v>
      </c>
    </row>
    <row r="118" customFormat="false" ht="15" hidden="false" customHeight="true" outlineLevel="0" collapsed="false">
      <c r="A118" s="71" t="s">
        <v>28</v>
      </c>
      <c r="B118" s="71" t="s">
        <v>360</v>
      </c>
      <c r="C118" s="72" t="n">
        <f aca="false">Cap_05!B9</f>
        <v>22000</v>
      </c>
      <c r="D118" s="72" t="n">
        <f aca="false">Cap_05!D9</f>
        <v>22000</v>
      </c>
      <c r="E118" s="73" t="str">
        <f aca="false">Cap_05!E9</f>
        <v>OK</v>
      </c>
    </row>
    <row r="119" customFormat="false" ht="15" hidden="false" customHeight="true" outlineLevel="0" collapsed="false">
      <c r="A119" s="71" t="s">
        <v>28</v>
      </c>
      <c r="B119" s="71" t="s">
        <v>362</v>
      </c>
      <c r="C119" s="72" t="n">
        <f aca="false">Cap_05!B10</f>
        <v>3386000</v>
      </c>
      <c r="D119" s="72" t="n">
        <f aca="false">Cap_05!D10</f>
        <v>3386000</v>
      </c>
      <c r="E119" s="73" t="str">
        <f aca="false">Cap_05!E10</f>
        <v>OK</v>
      </c>
    </row>
    <row r="120" customFormat="false" ht="15" hidden="false" customHeight="true" outlineLevel="0" collapsed="false">
      <c r="A120" s="71" t="s">
        <v>28</v>
      </c>
      <c r="B120" s="71" t="s">
        <v>367</v>
      </c>
      <c r="C120" s="72" t="n">
        <f aca="false">Cap_05!B14</f>
        <v>3386000</v>
      </c>
      <c r="D120" s="72" t="n">
        <f aca="false">Cap_05!D14</f>
        <v>3386000</v>
      </c>
      <c r="E120" s="73" t="str">
        <f aca="false">Cap_05!E14</f>
        <v>OK</v>
      </c>
    </row>
    <row r="121" customFormat="false" ht="15" hidden="false" customHeight="true" outlineLevel="0" collapsed="false">
      <c r="A121" s="71" t="s">
        <v>28</v>
      </c>
      <c r="B121" s="71" t="s">
        <v>368</v>
      </c>
      <c r="C121" s="72" t="n">
        <f aca="false">Cap_05!B15</f>
        <v>0</v>
      </c>
      <c r="D121" s="72" t="n">
        <f aca="false">Cap_05!D15</f>
        <v>0</v>
      </c>
      <c r="E121" s="73" t="str">
        <f aca="false">Cap_05!E15</f>
        <v>OK</v>
      </c>
    </row>
    <row r="122" customFormat="false" ht="15" hidden="false" customHeight="true" outlineLevel="0" collapsed="false">
      <c r="A122" s="71" t="s">
        <v>28</v>
      </c>
      <c r="B122" s="71" t="s">
        <v>369</v>
      </c>
      <c r="C122" s="72" t="n">
        <f aca="false">Cap_05!B16</f>
        <v>24000</v>
      </c>
      <c r="D122" s="72" t="n">
        <f aca="false">Cap_05!D16</f>
        <v>24000</v>
      </c>
      <c r="E122" s="73" t="str">
        <f aca="false">Cap_05!E16</f>
        <v>OK</v>
      </c>
    </row>
    <row r="123" customFormat="false" ht="15" hidden="false" customHeight="true" outlineLevel="0" collapsed="false">
      <c r="A123" s="71" t="s">
        <v>28</v>
      </c>
      <c r="B123" s="71" t="s">
        <v>370</v>
      </c>
      <c r="C123" s="72" t="n">
        <f aca="false">Cap_05!B17</f>
        <v>21000</v>
      </c>
      <c r="D123" s="72" t="n">
        <f aca="false">Cap_05!D17</f>
        <v>21000</v>
      </c>
      <c r="E123" s="73" t="str">
        <f aca="false">Cap_05!E17</f>
        <v>OK</v>
      </c>
    </row>
    <row r="124" customFormat="false" ht="15" hidden="false" customHeight="true" outlineLevel="0" collapsed="false">
      <c r="A124" s="71" t="s">
        <v>28</v>
      </c>
      <c r="B124" s="71" t="s">
        <v>376</v>
      </c>
      <c r="C124" s="72" t="n">
        <f aca="false">Cap_05!B25</f>
        <v>24000</v>
      </c>
      <c r="D124" s="72" t="n">
        <f aca="false">Cap_05!D25</f>
        <v>24000</v>
      </c>
      <c r="E124" s="73" t="str">
        <f aca="false">Cap_05!E25</f>
        <v>OK</v>
      </c>
    </row>
    <row r="125" customFormat="false" ht="15" hidden="false" customHeight="true" outlineLevel="0" collapsed="false">
      <c r="A125" s="71" t="s">
        <v>28</v>
      </c>
      <c r="B125" s="71" t="s">
        <v>377</v>
      </c>
      <c r="C125" s="72" t="n">
        <f aca="false">Cap_05!B26</f>
        <v>3000</v>
      </c>
      <c r="D125" s="72" t="n">
        <f aca="false">Cap_05!D26</f>
        <v>3000</v>
      </c>
      <c r="E125" s="73" t="str">
        <f aca="false">Cap_05!E26</f>
        <v>OK</v>
      </c>
    </row>
    <row r="126" customFormat="false" ht="15" hidden="false" customHeight="true" outlineLevel="0" collapsed="false">
      <c r="A126" s="71" t="s">
        <v>28</v>
      </c>
      <c r="B126" s="71" t="s">
        <v>378</v>
      </c>
      <c r="C126" s="72" t="n">
        <f aca="false">Cap_05!B27</f>
        <v>120000</v>
      </c>
      <c r="D126" s="72" t="n">
        <f aca="false">Cap_05!D27</f>
        <v>120000</v>
      </c>
      <c r="E126" s="73" t="str">
        <f aca="false">Cap_05!E27</f>
        <v>OK</v>
      </c>
    </row>
    <row r="127" customFormat="false" ht="15" hidden="false" customHeight="true" outlineLevel="0" collapsed="false">
      <c r="A127" s="71" t="s">
        <v>28</v>
      </c>
      <c r="B127" s="71" t="s">
        <v>379</v>
      </c>
      <c r="C127" s="72" t="n">
        <f aca="false">Cap_05!B28</f>
        <v>0</v>
      </c>
      <c r="D127" s="72" t="n">
        <f aca="false">Cap_05!D28</f>
        <v>0</v>
      </c>
      <c r="E127" s="73" t="str">
        <f aca="false">Cap_05!E28</f>
        <v>OK</v>
      </c>
    </row>
    <row r="128" customFormat="false" ht="15" hidden="false" customHeight="true" outlineLevel="0" collapsed="false">
      <c r="A128" s="71" t="s">
        <v>28</v>
      </c>
      <c r="B128" s="71" t="s">
        <v>390</v>
      </c>
      <c r="C128" s="72" t="n">
        <f aca="false">Cap_05!B39</f>
        <v>570000</v>
      </c>
      <c r="D128" s="72" t="n">
        <f aca="false">Cap_05!D39</f>
        <v>570000</v>
      </c>
      <c r="E128" s="73" t="str">
        <f aca="false">Cap_05!E39</f>
        <v>OK</v>
      </c>
    </row>
    <row r="129" customFormat="false" ht="15" hidden="false" customHeight="true" outlineLevel="0" collapsed="false">
      <c r="A129" s="71" t="s">
        <v>28</v>
      </c>
      <c r="B129" s="71" t="s">
        <v>391</v>
      </c>
      <c r="C129" s="72" t="n">
        <f aca="false">Cap_05!B40</f>
        <v>0</v>
      </c>
      <c r="D129" s="72" t="n">
        <f aca="false">Cap_05!D40</f>
        <v>0</v>
      </c>
      <c r="E129" s="73" t="str">
        <f aca="false">Cap_05!E40</f>
        <v>OK</v>
      </c>
    </row>
    <row r="130" customFormat="false" ht="15" hidden="false" customHeight="true" outlineLevel="0" collapsed="false">
      <c r="A130" s="71" t="s">
        <v>28</v>
      </c>
      <c r="B130" s="71" t="s">
        <v>395</v>
      </c>
      <c r="C130" s="72" t="n">
        <f aca="false">Cap_05!B46</f>
        <v>0</v>
      </c>
      <c r="D130" s="72" t="n">
        <f aca="false">Cap_05!D46</f>
        <v>0</v>
      </c>
      <c r="E130" s="73" t="str">
        <f aca="false">Cap_05!E46</f>
        <v>OK</v>
      </c>
    </row>
    <row r="131" customFormat="false" ht="15" hidden="false" customHeight="true" outlineLevel="0" collapsed="false">
      <c r="A131" s="71" t="s">
        <v>28</v>
      </c>
      <c r="B131" s="71" t="s">
        <v>398</v>
      </c>
      <c r="C131" s="72" t="n">
        <f aca="false">Cap_05!B51</f>
        <v>736000</v>
      </c>
      <c r="D131" s="72" t="n">
        <f aca="false">Cap_05!D51</f>
        <v>736000</v>
      </c>
      <c r="E131" s="73" t="str">
        <f aca="false">Cap_05!E51</f>
        <v>OK</v>
      </c>
    </row>
    <row r="132" customFormat="false" ht="15" hidden="false" customHeight="true" outlineLevel="0" collapsed="false">
      <c r="A132" s="71" t="s">
        <v>28</v>
      </c>
      <c r="B132" s="71" t="s">
        <v>399</v>
      </c>
      <c r="C132" s="72" t="n">
        <f aca="false">Cap_05!B52</f>
        <v>0</v>
      </c>
      <c r="D132" s="72" t="n">
        <f aca="false">Cap_05!D52</f>
        <v>0</v>
      </c>
      <c r="E132" s="73" t="str">
        <f aca="false">Cap_05!E52</f>
        <v>OK</v>
      </c>
    </row>
    <row r="133" customFormat="false" ht="15" hidden="false" customHeight="true" outlineLevel="0" collapsed="false">
      <c r="A133" s="71" t="s">
        <v>28</v>
      </c>
      <c r="B133" s="71" t="s">
        <v>400</v>
      </c>
      <c r="C133" s="72" t="n">
        <f aca="false">Cap_05!B53</f>
        <v>3000</v>
      </c>
      <c r="D133" s="72" t="n">
        <f aca="false">Cap_05!D53</f>
        <v>3000</v>
      </c>
      <c r="E133" s="73" t="str">
        <f aca="false">Cap_05!E53</f>
        <v>OK</v>
      </c>
    </row>
    <row r="134" customFormat="false" ht="15" hidden="false" customHeight="true" outlineLevel="0" collapsed="false">
      <c r="A134" s="71" t="s">
        <v>28</v>
      </c>
      <c r="B134" s="71" t="s">
        <v>401</v>
      </c>
      <c r="C134" s="72" t="n">
        <f aca="false">Cap_05!B54</f>
        <v>28</v>
      </c>
      <c r="D134" s="72" t="n">
        <f aca="false">Cap_05!D54</f>
        <v>28</v>
      </c>
      <c r="E134" s="73" t="str">
        <f aca="false">Cap_05!E54</f>
        <v>OK</v>
      </c>
    </row>
    <row r="135" customFormat="false" ht="15" hidden="false" customHeight="true" outlineLevel="0" collapsed="false">
      <c r="A135" s="71" t="s">
        <v>28</v>
      </c>
      <c r="B135" s="71" t="s">
        <v>402</v>
      </c>
      <c r="C135" s="72" t="n">
        <f aca="false">Cap_05!B55</f>
        <v>84000</v>
      </c>
      <c r="D135" s="72" t="n">
        <f aca="false">Cap_05!D55</f>
        <v>84000</v>
      </c>
      <c r="E135" s="73" t="str">
        <f aca="false">Cap_05!E55</f>
        <v>OK</v>
      </c>
    </row>
    <row r="136" customFormat="false" ht="15" hidden="false" customHeight="true" outlineLevel="0" collapsed="false">
      <c r="A136" s="71" t="s">
        <v>28</v>
      </c>
      <c r="B136" s="71" t="s">
        <v>403</v>
      </c>
      <c r="C136" s="72" t="n">
        <f aca="false">Cap_05!B56</f>
        <v>820000</v>
      </c>
      <c r="D136" s="72" t="n">
        <f aca="false">Cap_05!D56</f>
        <v>820000</v>
      </c>
      <c r="E136" s="73" t="str">
        <f aca="false">Cap_05!E56</f>
        <v>OK</v>
      </c>
    </row>
    <row r="137" customFormat="false" ht="15" hidden="false" customHeight="true" outlineLevel="0" collapsed="false">
      <c r="A137" s="71" t="s">
        <v>28</v>
      </c>
      <c r="B137" s="71" t="s">
        <v>404</v>
      </c>
      <c r="C137" s="72" t="n">
        <f aca="false">Cap_05!B57</f>
        <v>0</v>
      </c>
      <c r="D137" s="72" t="n">
        <f aca="false">Cap_05!D57</f>
        <v>0</v>
      </c>
      <c r="E137" s="73" t="str">
        <f aca="false">Cap_05!E57</f>
        <v>OK</v>
      </c>
    </row>
    <row r="138" customFormat="false" ht="15" hidden="false" customHeight="true" outlineLevel="0" collapsed="false">
      <c r="A138" s="71" t="s">
        <v>28</v>
      </c>
      <c r="B138" s="71" t="s">
        <v>409</v>
      </c>
      <c r="C138" s="72" t="n">
        <f aca="false">Cap_05!B64</f>
        <v>120000</v>
      </c>
      <c r="D138" s="72" t="n">
        <f aca="false">Cap_05!D64</f>
        <v>120000</v>
      </c>
      <c r="E138" s="73" t="str">
        <f aca="false">Cap_05!E64</f>
        <v>OK</v>
      </c>
    </row>
    <row r="139" customFormat="false" ht="15" hidden="false" customHeight="true" outlineLevel="0" collapsed="false">
      <c r="A139" s="71" t="s">
        <v>28</v>
      </c>
      <c r="B139" s="71" t="s">
        <v>410</v>
      </c>
      <c r="C139" s="72" t="n">
        <f aca="false">Cap_05!B65</f>
        <v>0</v>
      </c>
      <c r="D139" s="72" t="n">
        <f aca="false">Cap_05!D65</f>
        <v>0</v>
      </c>
      <c r="E139" s="73" t="str">
        <f aca="false">Cap_05!E65</f>
        <v>OK</v>
      </c>
    </row>
    <row r="140" customFormat="false" ht="15" hidden="false" customHeight="true" outlineLevel="0" collapsed="false">
      <c r="A140" s="71" t="s">
        <v>31</v>
      </c>
      <c r="B140" s="71" t="s">
        <v>417</v>
      </c>
      <c r="C140" s="75" t="n">
        <f aca="false">Cap_06!B11</f>
        <v>20</v>
      </c>
      <c r="D140" s="75" t="n">
        <f aca="false">Cap_06!D11</f>
        <v>20</v>
      </c>
      <c r="E140" s="73" t="str">
        <f aca="false">Cap_06!E11</f>
        <v>OK</v>
      </c>
    </row>
    <row r="141" customFormat="false" ht="15" hidden="false" customHeight="true" outlineLevel="0" collapsed="false">
      <c r="A141" s="71" t="s">
        <v>31</v>
      </c>
      <c r="B141" s="71" t="s">
        <v>419</v>
      </c>
      <c r="C141" s="72" t="n">
        <f aca="false">Cap_06!B13</f>
        <v>3000</v>
      </c>
      <c r="D141" s="72" t="n">
        <f aca="false">Cap_06!D13</f>
        <v>3000</v>
      </c>
      <c r="E141" s="73" t="str">
        <f aca="false">Cap_06!E13</f>
        <v>OK</v>
      </c>
    </row>
    <row r="142" customFormat="false" ht="15" hidden="false" customHeight="true" outlineLevel="0" collapsed="false">
      <c r="A142" s="71" t="s">
        <v>31</v>
      </c>
      <c r="B142" s="71" t="s">
        <v>426</v>
      </c>
      <c r="C142" s="72" t="n">
        <f aca="false">Cap_06!B22</f>
        <v>385000</v>
      </c>
      <c r="D142" s="72" t="n">
        <f aca="false">Cap_06!D22</f>
        <v>385000</v>
      </c>
      <c r="E142" s="73" t="str">
        <f aca="false">Cap_06!E22</f>
        <v>OK</v>
      </c>
    </row>
    <row r="143" customFormat="false" ht="15" hidden="false" customHeight="true" outlineLevel="0" collapsed="false">
      <c r="A143" s="71" t="s">
        <v>31</v>
      </c>
      <c r="B143" s="71" t="s">
        <v>435</v>
      </c>
      <c r="C143" s="76" t="n">
        <f aca="false">Cap_06!B33</f>
        <v>0.6</v>
      </c>
      <c r="D143" s="76" t="n">
        <f aca="false">Cap_06!D33</f>
        <v>0.6</v>
      </c>
      <c r="E143" s="73" t="str">
        <f aca="false">Cap_06!E33</f>
        <v>OK</v>
      </c>
    </row>
    <row r="144" customFormat="false" ht="15" hidden="false" customHeight="true" outlineLevel="0" collapsed="false">
      <c r="A144" s="71" t="s">
        <v>31</v>
      </c>
      <c r="B144" s="71" t="s">
        <v>436</v>
      </c>
      <c r="C144" s="76" t="n">
        <f aca="false">Cap_06!B34</f>
        <v>0.4</v>
      </c>
      <c r="D144" s="76" t="n">
        <f aca="false">Cap_06!D34</f>
        <v>0.4</v>
      </c>
      <c r="E144" s="73" t="str">
        <f aca="false">Cap_06!E34</f>
        <v>OK</v>
      </c>
    </row>
    <row r="145" customFormat="false" ht="15" hidden="false" customHeight="true" outlineLevel="0" collapsed="false">
      <c r="A145" s="71" t="s">
        <v>31</v>
      </c>
      <c r="B145" s="71" t="s">
        <v>428</v>
      </c>
      <c r="C145" s="72" t="n">
        <f aca="false">Cap_06!B35</f>
        <v>30000</v>
      </c>
      <c r="D145" s="72" t="n">
        <f aca="false">Cap_06!D35</f>
        <v>30000</v>
      </c>
      <c r="E145" s="73" t="str">
        <f aca="false">Cap_06!E35</f>
        <v>OK</v>
      </c>
    </row>
    <row r="146" customFormat="false" ht="15" hidden="false" customHeight="true" outlineLevel="0" collapsed="false">
      <c r="A146" s="71" t="s">
        <v>31</v>
      </c>
      <c r="B146" s="71" t="s">
        <v>429</v>
      </c>
      <c r="C146" s="72" t="n">
        <f aca="false">Cap_06!B36</f>
        <v>20000</v>
      </c>
      <c r="D146" s="72" t="n">
        <f aca="false">Cap_06!D36</f>
        <v>20000</v>
      </c>
      <c r="E146" s="73" t="str">
        <f aca="false">Cap_06!E36</f>
        <v>OK</v>
      </c>
    </row>
    <row r="147" customFormat="false" ht="15" hidden="false" customHeight="true" outlineLevel="0" collapsed="false">
      <c r="A147" s="71" t="s">
        <v>31</v>
      </c>
      <c r="B147" s="71" t="s">
        <v>437</v>
      </c>
      <c r="C147" s="76" t="n">
        <f aca="false">Cap_06!B37</f>
        <v>0.25</v>
      </c>
      <c r="D147" s="76" t="n">
        <f aca="false">Cap_06!D37</f>
        <v>0.25</v>
      </c>
      <c r="E147" s="73" t="str">
        <f aca="false">Cap_06!E37</f>
        <v>OK</v>
      </c>
    </row>
    <row r="148" customFormat="false" ht="15" hidden="false" customHeight="true" outlineLevel="0" collapsed="false">
      <c r="A148" s="71" t="s">
        <v>31</v>
      </c>
      <c r="B148" s="71" t="s">
        <v>438</v>
      </c>
      <c r="C148" s="76" t="n">
        <f aca="false">Cap_06!B38</f>
        <v>0.75</v>
      </c>
      <c r="D148" s="76" t="n">
        <f aca="false">Cap_06!D38</f>
        <v>0.75</v>
      </c>
      <c r="E148" s="73" t="str">
        <f aca="false">Cap_06!E38</f>
        <v>OK</v>
      </c>
    </row>
    <row r="149" customFormat="false" ht="15" hidden="false" customHeight="true" outlineLevel="0" collapsed="false">
      <c r="A149" s="71" t="s">
        <v>31</v>
      </c>
      <c r="B149" s="71" t="s">
        <v>431</v>
      </c>
      <c r="C149" s="72" t="n">
        <f aca="false">Cap_06!B39</f>
        <v>8750</v>
      </c>
      <c r="D149" s="72" t="n">
        <f aca="false">Cap_06!D39</f>
        <v>8750</v>
      </c>
      <c r="E149" s="73" t="str">
        <f aca="false">Cap_06!E39</f>
        <v>OK</v>
      </c>
    </row>
    <row r="150" customFormat="false" ht="15" hidden="false" customHeight="true" outlineLevel="0" collapsed="false">
      <c r="A150" s="71" t="s">
        <v>31</v>
      </c>
      <c r="B150" s="71" t="s">
        <v>432</v>
      </c>
      <c r="C150" s="72" t="n">
        <f aca="false">Cap_06!B40</f>
        <v>26250</v>
      </c>
      <c r="D150" s="72" t="n">
        <f aca="false">Cap_06!D40</f>
        <v>26250</v>
      </c>
      <c r="E150" s="73" t="str">
        <f aca="false">Cap_06!E40</f>
        <v>OK</v>
      </c>
    </row>
    <row r="151" customFormat="false" ht="15" hidden="false" customHeight="true" outlineLevel="0" collapsed="false">
      <c r="A151" s="71" t="s">
        <v>31</v>
      </c>
      <c r="B151" s="71" t="s">
        <v>439</v>
      </c>
      <c r="C151" s="72" t="n">
        <f aca="false">Cap_06!B41</f>
        <v>218750</v>
      </c>
      <c r="D151" s="72" t="n">
        <f aca="false">Cap_06!D41</f>
        <v>218750</v>
      </c>
      <c r="E151" s="73" t="str">
        <f aca="false">Cap_06!E41</f>
        <v>OK</v>
      </c>
    </row>
    <row r="152" customFormat="false" ht="15" hidden="false" customHeight="true" outlineLevel="0" collapsed="false">
      <c r="A152" s="71" t="s">
        <v>31</v>
      </c>
      <c r="B152" s="71" t="s">
        <v>440</v>
      </c>
      <c r="C152" s="72" t="n">
        <f aca="false">Cap_06!B42</f>
        <v>166250</v>
      </c>
      <c r="D152" s="72" t="n">
        <f aca="false">Cap_06!D42</f>
        <v>166250</v>
      </c>
      <c r="E152" s="73" t="str">
        <f aca="false">Cap_06!E42</f>
        <v>OK</v>
      </c>
    </row>
    <row r="153" customFormat="false" ht="15" hidden="false" customHeight="true" outlineLevel="0" collapsed="false">
      <c r="A153" s="71" t="s">
        <v>31</v>
      </c>
      <c r="B153" s="71" t="s">
        <v>441</v>
      </c>
      <c r="C153" s="72" t="n">
        <f aca="false">Cap_06!B43</f>
        <v>385000</v>
      </c>
      <c r="D153" s="72" t="n">
        <f aca="false">Cap_06!D43</f>
        <v>385000</v>
      </c>
      <c r="E153" s="73" t="str">
        <f aca="false">Cap_06!E43</f>
        <v>OK</v>
      </c>
    </row>
    <row r="154" customFormat="false" ht="15" hidden="false" customHeight="true" outlineLevel="0" collapsed="false">
      <c r="A154" s="71" t="s">
        <v>31</v>
      </c>
      <c r="B154" s="71" t="s">
        <v>444</v>
      </c>
      <c r="C154" s="72" t="n">
        <f aca="false">Cap_06!B48</f>
        <v>12500</v>
      </c>
      <c r="D154" s="72" t="n">
        <f aca="false">Cap_06!D48</f>
        <v>12500</v>
      </c>
      <c r="E154" s="73" t="str">
        <f aca="false">Cap_06!E48</f>
        <v>OK</v>
      </c>
    </row>
    <row r="155" customFormat="false" ht="15" hidden="false" customHeight="true" outlineLevel="0" collapsed="false">
      <c r="A155" s="71" t="s">
        <v>31</v>
      </c>
      <c r="B155" s="71" t="s">
        <v>445</v>
      </c>
      <c r="C155" s="72" t="n">
        <f aca="false">Cap_06!B49</f>
        <v>7000</v>
      </c>
      <c r="D155" s="72" t="n">
        <f aca="false">Cap_06!D49</f>
        <v>7000</v>
      </c>
      <c r="E155" s="73" t="str">
        <f aca="false">Cap_06!E49</f>
        <v>OK</v>
      </c>
    </row>
    <row r="156" customFormat="false" ht="15" hidden="false" customHeight="true" outlineLevel="0" collapsed="false">
      <c r="A156" s="71" t="s">
        <v>31</v>
      </c>
      <c r="B156" s="71" t="s">
        <v>446</v>
      </c>
      <c r="C156" s="71" t="str">
        <f aca="false">Cap_06!B50</f>
        <v>Manutenzione</v>
      </c>
      <c r="D156" s="71" t="str">
        <f aca="false">Cap_06!D50</f>
        <v>Manutenzione</v>
      </c>
      <c r="E156" s="73" t="str">
        <f aca="false">Cap_06!E50</f>
        <v>OK</v>
      </c>
    </row>
    <row r="157" customFormat="false" ht="15" hidden="false" customHeight="true" outlineLevel="0" collapsed="false">
      <c r="A157" s="71" t="s">
        <v>31</v>
      </c>
      <c r="B157" s="71" t="s">
        <v>428</v>
      </c>
      <c r="C157" s="72" t="n">
        <f aca="false">Cap_06!B51</f>
        <v>22500</v>
      </c>
      <c r="D157" s="72" t="n">
        <f aca="false">Cap_06!D51</f>
        <v>22500</v>
      </c>
      <c r="E157" s="73" t="str">
        <f aca="false">Cap_06!E51</f>
        <v>OK</v>
      </c>
    </row>
    <row r="158" customFormat="false" ht="15" hidden="false" customHeight="true" outlineLevel="0" collapsed="false">
      <c r="A158" s="71" t="s">
        <v>31</v>
      </c>
      <c r="B158" s="71" t="s">
        <v>429</v>
      </c>
      <c r="C158" s="72" t="n">
        <f aca="false">Cap_06!B52</f>
        <v>15000</v>
      </c>
      <c r="D158" s="72" t="n">
        <f aca="false">Cap_06!D52</f>
        <v>15000</v>
      </c>
      <c r="E158" s="73" t="str">
        <f aca="false">Cap_06!E52</f>
        <v>OK</v>
      </c>
    </row>
    <row r="159" customFormat="false" ht="15" hidden="false" customHeight="true" outlineLevel="0" collapsed="false">
      <c r="A159" s="71" t="s">
        <v>31</v>
      </c>
      <c r="B159" s="71" t="s">
        <v>448</v>
      </c>
      <c r="C159" s="72" t="n">
        <f aca="false">Cap_06!B53</f>
        <v>47500</v>
      </c>
      <c r="D159" s="72" t="n">
        <f aca="false">Cap_06!D53</f>
        <v>47500</v>
      </c>
      <c r="E159" s="73" t="str">
        <f aca="false">Cap_06!E53</f>
        <v>OK</v>
      </c>
    </row>
    <row r="160" customFormat="false" ht="15" hidden="false" customHeight="true" outlineLevel="0" collapsed="false">
      <c r="A160" s="71" t="s">
        <v>31</v>
      </c>
      <c r="B160" s="71" t="s">
        <v>431</v>
      </c>
      <c r="C160" s="72" t="n">
        <f aca="false">Cap_06!B54</f>
        <v>11875</v>
      </c>
      <c r="D160" s="72" t="n">
        <f aca="false">Cap_06!D54</f>
        <v>11875</v>
      </c>
      <c r="E160" s="73" t="str">
        <f aca="false">Cap_06!E54</f>
        <v>OK</v>
      </c>
    </row>
    <row r="161" customFormat="false" ht="15" hidden="false" customHeight="true" outlineLevel="0" collapsed="false">
      <c r="A161" s="71" t="s">
        <v>31</v>
      </c>
      <c r="B161" s="71" t="s">
        <v>432</v>
      </c>
      <c r="C161" s="72" t="n">
        <f aca="false">Cap_06!B55</f>
        <v>35625</v>
      </c>
      <c r="D161" s="72" t="n">
        <f aca="false">Cap_06!D55</f>
        <v>35625</v>
      </c>
      <c r="E161" s="73" t="str">
        <f aca="false">Cap_06!E55</f>
        <v>OK</v>
      </c>
    </row>
    <row r="162" customFormat="false" ht="15" hidden="false" customHeight="true" outlineLevel="0" collapsed="false">
      <c r="A162" s="71" t="s">
        <v>31</v>
      </c>
      <c r="B162" s="71" t="s">
        <v>449</v>
      </c>
      <c r="C162" s="72" t="n">
        <f aca="false">Cap_06!B56</f>
        <v>214375</v>
      </c>
      <c r="D162" s="72" t="n">
        <f aca="false">Cap_06!D56</f>
        <v>214375</v>
      </c>
      <c r="E162" s="73" t="str">
        <f aca="false">Cap_06!E56</f>
        <v>OK</v>
      </c>
    </row>
    <row r="163" customFormat="false" ht="15" hidden="false" customHeight="true" outlineLevel="0" collapsed="false">
      <c r="A163" s="71" t="s">
        <v>31</v>
      </c>
      <c r="B163" s="71" t="s">
        <v>450</v>
      </c>
      <c r="C163" s="72" t="n">
        <f aca="false">Cap_06!B57</f>
        <v>170625</v>
      </c>
      <c r="D163" s="72" t="n">
        <f aca="false">Cap_06!D57</f>
        <v>170625</v>
      </c>
      <c r="E163" s="73" t="str">
        <f aca="false">Cap_06!E57</f>
        <v>OK</v>
      </c>
    </row>
    <row r="164" customFormat="false" ht="15" hidden="false" customHeight="true" outlineLevel="0" collapsed="false">
      <c r="A164" s="71" t="s">
        <v>31</v>
      </c>
      <c r="B164" s="71" t="s">
        <v>451</v>
      </c>
      <c r="C164" s="72" t="n">
        <f aca="false">Cap_06!B58</f>
        <v>385000</v>
      </c>
      <c r="D164" s="72" t="n">
        <f aca="false">Cap_06!D58</f>
        <v>385000</v>
      </c>
      <c r="E164" s="73" t="str">
        <f aca="false">Cap_06!E58</f>
        <v>OK</v>
      </c>
    </row>
    <row r="165" customFormat="false" ht="15" hidden="false" customHeight="true" outlineLevel="0" collapsed="false">
      <c r="A165" s="71" t="s">
        <v>31</v>
      </c>
      <c r="B165" s="71" t="s">
        <v>454</v>
      </c>
      <c r="C165" s="72" t="n">
        <f aca="false">Cap_06!B63</f>
        <v>60000</v>
      </c>
      <c r="D165" s="72" t="n">
        <f aca="false">Cap_06!D63</f>
        <v>60000</v>
      </c>
      <c r="E165" s="73" t="str">
        <f aca="false">Cap_06!E63</f>
        <v>OK</v>
      </c>
    </row>
    <row r="166" customFormat="false" ht="15" hidden="false" customHeight="true" outlineLevel="0" collapsed="false">
      <c r="A166" s="71" t="s">
        <v>31</v>
      </c>
      <c r="B166" s="71" t="s">
        <v>455</v>
      </c>
      <c r="C166" s="72" t="n">
        <f aca="false">Cap_06!B64</f>
        <v>50000</v>
      </c>
      <c r="D166" s="72" t="n">
        <f aca="false">Cap_06!D64</f>
        <v>50000</v>
      </c>
      <c r="E166" s="73" t="str">
        <f aca="false">Cap_06!E64</f>
        <v>OK</v>
      </c>
    </row>
    <row r="167" customFormat="false" ht="15" hidden="false" customHeight="true" outlineLevel="0" collapsed="false">
      <c r="A167" s="71" t="s">
        <v>31</v>
      </c>
      <c r="B167" s="71" t="s">
        <v>428</v>
      </c>
      <c r="C167" s="72" t="n">
        <f aca="false">Cap_06!B65</f>
        <v>27000</v>
      </c>
      <c r="D167" s="72" t="n">
        <f aca="false">Cap_06!D65</f>
        <v>27000</v>
      </c>
      <c r="E167" s="73" t="str">
        <f aca="false">Cap_06!E65</f>
        <v>OK</v>
      </c>
    </row>
    <row r="168" customFormat="false" ht="15" hidden="false" customHeight="true" outlineLevel="0" collapsed="false">
      <c r="A168" s="71" t="s">
        <v>31</v>
      </c>
      <c r="B168" s="71" t="s">
        <v>431</v>
      </c>
      <c r="C168" s="72" t="n">
        <f aca="false">Cap_06!B66</f>
        <v>10000</v>
      </c>
      <c r="D168" s="72" t="n">
        <f aca="false">Cap_06!D66</f>
        <v>10000</v>
      </c>
      <c r="E168" s="73" t="str">
        <f aca="false">Cap_06!E66</f>
        <v>OK</v>
      </c>
    </row>
    <row r="169" customFormat="false" ht="15" hidden="false" customHeight="true" outlineLevel="0" collapsed="false">
      <c r="A169" s="71" t="s">
        <v>31</v>
      </c>
      <c r="B169" s="71" t="s">
        <v>429</v>
      </c>
      <c r="C169" s="72" t="n">
        <f aca="false">Cap_06!B67</f>
        <v>18000</v>
      </c>
      <c r="D169" s="72" t="n">
        <f aca="false">Cap_06!D67</f>
        <v>18000</v>
      </c>
      <c r="E169" s="73" t="str">
        <f aca="false">Cap_06!E67</f>
        <v>OK</v>
      </c>
    </row>
    <row r="170" customFormat="false" ht="15" hidden="false" customHeight="true" outlineLevel="0" collapsed="false">
      <c r="A170" s="71" t="s">
        <v>31</v>
      </c>
      <c r="B170" s="71" t="s">
        <v>432</v>
      </c>
      <c r="C170" s="72" t="n">
        <f aca="false">Cap_06!B68</f>
        <v>30000</v>
      </c>
      <c r="D170" s="72" t="n">
        <f aca="false">Cap_06!D68</f>
        <v>30000</v>
      </c>
      <c r="E170" s="73" t="str">
        <f aca="false">Cap_06!E68</f>
        <v>OK</v>
      </c>
    </row>
    <row r="171" customFormat="false" ht="15" hidden="false" customHeight="true" outlineLevel="0" collapsed="false">
      <c r="A171" s="71" t="s">
        <v>31</v>
      </c>
      <c r="B171" s="71" t="s">
        <v>456</v>
      </c>
      <c r="C171" s="72" t="n">
        <f aca="false">Cap_06!B69</f>
        <v>15000</v>
      </c>
      <c r="D171" s="72" t="n">
        <f aca="false">Cap_06!D69</f>
        <v>15000</v>
      </c>
      <c r="E171" s="73" t="str">
        <f aca="false">Cap_06!E69</f>
        <v>OK</v>
      </c>
    </row>
    <row r="172" customFormat="false" ht="15" hidden="false" customHeight="true" outlineLevel="0" collapsed="false">
      <c r="A172" s="71" t="s">
        <v>31</v>
      </c>
      <c r="B172" s="71" t="s">
        <v>457</v>
      </c>
      <c r="C172" s="72" t="n">
        <f aca="false">Cap_06!B70</f>
        <v>10000</v>
      </c>
      <c r="D172" s="72" t="n">
        <f aca="false">Cap_06!D70</f>
        <v>10000</v>
      </c>
      <c r="E172" s="73" t="str">
        <f aca="false">Cap_06!E70</f>
        <v>OK</v>
      </c>
    </row>
    <row r="173" customFormat="false" ht="15" hidden="false" customHeight="true" outlineLevel="0" collapsed="false">
      <c r="A173" s="71" t="s">
        <v>31</v>
      </c>
      <c r="B173" s="71" t="s">
        <v>458</v>
      </c>
      <c r="C173" s="72" t="n">
        <f aca="false">Cap_06!B71</f>
        <v>85000</v>
      </c>
      <c r="D173" s="72" t="n">
        <f aca="false">Cap_06!D71</f>
        <v>85000</v>
      </c>
      <c r="E173" s="73" t="str">
        <f aca="false">Cap_06!E71</f>
        <v>OK</v>
      </c>
    </row>
    <row r="174" customFormat="false" ht="15" hidden="false" customHeight="true" outlineLevel="0" collapsed="false">
      <c r="A174" s="71" t="s">
        <v>31</v>
      </c>
      <c r="B174" s="71" t="s">
        <v>459</v>
      </c>
      <c r="C174" s="72" t="n">
        <f aca="false">Cap_06!B72</f>
        <v>217000</v>
      </c>
      <c r="D174" s="72" t="n">
        <f aca="false">Cap_06!D72</f>
        <v>217000</v>
      </c>
      <c r="E174" s="73" t="str">
        <f aca="false">Cap_06!E72</f>
        <v>OK</v>
      </c>
    </row>
    <row r="175" customFormat="false" ht="15" hidden="false" customHeight="true" outlineLevel="0" collapsed="false">
      <c r="A175" s="71" t="s">
        <v>31</v>
      </c>
      <c r="B175" s="71" t="s">
        <v>460</v>
      </c>
      <c r="C175" s="72" t="n">
        <f aca="false">Cap_06!B73</f>
        <v>168000</v>
      </c>
      <c r="D175" s="72" t="n">
        <f aca="false">Cap_06!D73</f>
        <v>168000</v>
      </c>
      <c r="E175" s="73" t="str">
        <f aca="false">Cap_06!E73</f>
        <v>OK</v>
      </c>
    </row>
    <row r="176" customFormat="false" ht="15" hidden="false" customHeight="true" outlineLevel="0" collapsed="false">
      <c r="A176" s="71" t="s">
        <v>31</v>
      </c>
      <c r="B176" s="71" t="s">
        <v>461</v>
      </c>
      <c r="C176" s="72" t="n">
        <f aca="false">Cap_06!B74</f>
        <v>385000</v>
      </c>
      <c r="D176" s="72" t="n">
        <f aca="false">Cap_06!D74</f>
        <v>385000</v>
      </c>
      <c r="E176" s="73" t="str">
        <f aca="false">Cap_06!E74</f>
        <v>OK</v>
      </c>
    </row>
    <row r="177" customFormat="false" ht="15" hidden="false" customHeight="true" outlineLevel="0" collapsed="false">
      <c r="A177" s="71" t="s">
        <v>31</v>
      </c>
      <c r="B177" s="71" t="s">
        <v>464</v>
      </c>
      <c r="C177" s="72" t="n">
        <f aca="false">Cap_06!B79</f>
        <v>1750</v>
      </c>
      <c r="D177" s="72" t="n">
        <f aca="false">Cap_06!D79</f>
        <v>1750</v>
      </c>
      <c r="E177" s="73" t="str">
        <f aca="false">Cap_06!E79</f>
        <v>OK</v>
      </c>
    </row>
    <row r="178" customFormat="false" ht="15" hidden="false" customHeight="true" outlineLevel="0" collapsed="false">
      <c r="A178" s="71" t="s">
        <v>31</v>
      </c>
      <c r="B178" s="71" t="s">
        <v>465</v>
      </c>
      <c r="C178" s="72" t="n">
        <f aca="false">Cap_06!B80</f>
        <v>-2625</v>
      </c>
      <c r="D178" s="72" t="n">
        <f aca="false">Cap_06!D80</f>
        <v>-2625</v>
      </c>
      <c r="E178" s="73" t="str">
        <f aca="false">Cap_06!E80</f>
        <v>OK</v>
      </c>
    </row>
    <row r="179" customFormat="false" ht="15" hidden="false" customHeight="true" outlineLevel="0" collapsed="false">
      <c r="A179" s="71" t="s">
        <v>31</v>
      </c>
      <c r="B179" s="71" t="s">
        <v>468</v>
      </c>
      <c r="C179" s="72" t="n">
        <f aca="false">Cap_06!B83</f>
        <v>221200</v>
      </c>
      <c r="D179" s="72" t="n">
        <f aca="false">Cap_06!D83</f>
        <v>221200</v>
      </c>
      <c r="E179" s="73" t="str">
        <f aca="false">Cap_06!E83</f>
        <v>OK</v>
      </c>
    </row>
    <row r="180" customFormat="false" ht="15" hidden="false" customHeight="true" outlineLevel="0" collapsed="false">
      <c r="A180" s="71" t="s">
        <v>31</v>
      </c>
      <c r="B180" s="71" t="s">
        <v>469</v>
      </c>
      <c r="C180" s="72" t="n">
        <f aca="false">Cap_06!B84</f>
        <v>163800</v>
      </c>
      <c r="D180" s="72" t="n">
        <f aca="false">Cap_06!D84</f>
        <v>163800</v>
      </c>
      <c r="E180" s="73" t="str">
        <f aca="false">Cap_06!E84</f>
        <v>OK</v>
      </c>
    </row>
    <row r="181" customFormat="false" ht="15" hidden="false" customHeight="true" outlineLevel="0" collapsed="false">
      <c r="A181" s="71" t="s">
        <v>31</v>
      </c>
      <c r="B181" s="71" t="s">
        <v>470</v>
      </c>
      <c r="C181" s="72" t="n">
        <f aca="false">Cap_06!B85</f>
        <v>385000</v>
      </c>
      <c r="D181" s="72" t="n">
        <f aca="false">Cap_06!D85</f>
        <v>385000</v>
      </c>
      <c r="E181" s="73" t="str">
        <f aca="false">Cap_06!E85</f>
        <v>OK</v>
      </c>
    </row>
    <row r="182" customFormat="false" ht="15" hidden="false" customHeight="true" outlineLevel="0" collapsed="false">
      <c r="A182" s="71" t="s">
        <v>31</v>
      </c>
      <c r="B182" s="71" t="s">
        <v>476</v>
      </c>
      <c r="C182" s="72" t="n">
        <f aca="false">Cap_06!B93</f>
        <v>9000</v>
      </c>
      <c r="D182" s="72" t="n">
        <f aca="false">Cap_06!D93</f>
        <v>9000</v>
      </c>
      <c r="E182" s="73" t="str">
        <f aca="false">Cap_06!E93</f>
        <v>OK</v>
      </c>
    </row>
    <row r="183" customFormat="false" ht="15" hidden="false" customHeight="true" outlineLevel="0" collapsed="false">
      <c r="A183" s="71" t="s">
        <v>31</v>
      </c>
      <c r="B183" s="71" t="s">
        <v>417</v>
      </c>
      <c r="C183" s="75" t="n">
        <f aca="false">Cap_06!B94</f>
        <v>20</v>
      </c>
      <c r="D183" s="75" t="n">
        <f aca="false">Cap_06!D94</f>
        <v>20</v>
      </c>
      <c r="E183" s="73" t="str">
        <f aca="false">Cap_06!E94</f>
        <v>OK</v>
      </c>
    </row>
    <row r="184" customFormat="false" ht="15" hidden="false" customHeight="true" outlineLevel="0" collapsed="false">
      <c r="A184" s="71" t="s">
        <v>31</v>
      </c>
      <c r="B184" s="71" t="s">
        <v>477</v>
      </c>
      <c r="C184" s="72" t="n">
        <f aca="false">Cap_06!B95</f>
        <v>80000</v>
      </c>
      <c r="D184" s="72" t="n">
        <f aca="false">Cap_06!D95</f>
        <v>80000</v>
      </c>
      <c r="E184" s="73" t="str">
        <f aca="false">Cap_06!E95</f>
        <v>OK</v>
      </c>
    </row>
    <row r="185" customFormat="false" ht="15" hidden="false" customHeight="true" outlineLevel="0" collapsed="false">
      <c r="A185" s="71" t="s">
        <v>31</v>
      </c>
      <c r="B185" s="71" t="s">
        <v>478</v>
      </c>
      <c r="C185" s="72" t="n">
        <f aca="false">Cap_06!B96</f>
        <v>100000</v>
      </c>
      <c r="D185" s="72" t="n">
        <f aca="false">Cap_06!D96</f>
        <v>100000</v>
      </c>
      <c r="E185" s="73" t="str">
        <f aca="false">Cap_06!E96</f>
        <v>OK</v>
      </c>
    </row>
    <row r="186" customFormat="false" ht="15" hidden="false" customHeight="true" outlineLevel="0" collapsed="false">
      <c r="A186" s="71" t="s">
        <v>31</v>
      </c>
      <c r="B186" s="71" t="s">
        <v>479</v>
      </c>
      <c r="C186" s="72" t="n">
        <f aca="false">Cap_06!B97</f>
        <v>180000</v>
      </c>
      <c r="D186" s="72" t="n">
        <f aca="false">Cap_06!D97</f>
        <v>180000</v>
      </c>
      <c r="E186" s="73" t="str">
        <f aca="false">Cap_06!E97</f>
        <v>OK</v>
      </c>
    </row>
    <row r="187" customFormat="false" ht="15" hidden="false" customHeight="true" outlineLevel="0" collapsed="false">
      <c r="A187" s="71" t="s">
        <v>31</v>
      </c>
      <c r="B187" s="71" t="s">
        <v>484</v>
      </c>
      <c r="C187" s="72" t="n">
        <f aca="false">Cap_06!B104</f>
        <v>15000</v>
      </c>
      <c r="D187" s="72" t="n">
        <f aca="false">Cap_06!D104</f>
        <v>15000</v>
      </c>
      <c r="E187" s="73" t="str">
        <f aca="false">Cap_06!E104</f>
        <v>OK</v>
      </c>
    </row>
    <row r="188" customFormat="false" ht="15" hidden="false" customHeight="true" outlineLevel="0" collapsed="false">
      <c r="A188" s="71" t="s">
        <v>31</v>
      </c>
      <c r="B188" s="71" t="s">
        <v>487</v>
      </c>
      <c r="C188" s="72" t="n">
        <f aca="false">Cap_06!B111</f>
        <v>9000</v>
      </c>
      <c r="D188" s="72" t="n">
        <f aca="false">Cap_06!D111</f>
        <v>9000</v>
      </c>
      <c r="E188" s="73" t="str">
        <f aca="false">Cap_06!E111</f>
        <v>OK</v>
      </c>
    </row>
    <row r="189" customFormat="false" ht="15" hidden="false" customHeight="true" outlineLevel="0" collapsed="false">
      <c r="A189" s="71" t="s">
        <v>31</v>
      </c>
      <c r="B189" s="71" t="s">
        <v>428</v>
      </c>
      <c r="C189" s="72" t="n">
        <f aca="false">Cap_06!B112</f>
        <v>27000</v>
      </c>
      <c r="D189" s="72" t="n">
        <f aca="false">Cap_06!D112</f>
        <v>27000</v>
      </c>
      <c r="E189" s="73" t="str">
        <f aca="false">Cap_06!E112</f>
        <v>OK</v>
      </c>
    </row>
    <row r="190" customFormat="false" ht="15" hidden="false" customHeight="true" outlineLevel="0" collapsed="false">
      <c r="A190" s="71" t="s">
        <v>31</v>
      </c>
      <c r="B190" s="71" t="s">
        <v>488</v>
      </c>
      <c r="C190" s="72" t="n">
        <f aca="false">Cap_06!B113</f>
        <v>27000</v>
      </c>
      <c r="D190" s="72" t="n">
        <f aca="false">Cap_06!D113</f>
        <v>27000</v>
      </c>
      <c r="E190" s="73" t="str">
        <f aca="false">Cap_06!E113</f>
        <v>OK</v>
      </c>
    </row>
    <row r="191" customFormat="false" ht="15" hidden="false" customHeight="true" outlineLevel="0" collapsed="false">
      <c r="A191" s="71" t="s">
        <v>31</v>
      </c>
      <c r="B191" s="71" t="s">
        <v>489</v>
      </c>
      <c r="C191" s="72" t="n">
        <f aca="false">Cap_06!B114</f>
        <v>27000</v>
      </c>
      <c r="D191" s="72" t="n">
        <f aca="false">Cap_06!D114</f>
        <v>27000</v>
      </c>
      <c r="E191" s="73" t="str">
        <f aca="false">Cap_06!E114</f>
        <v>OK</v>
      </c>
    </row>
    <row r="192" customFormat="false" ht="15" hidden="false" customHeight="true" outlineLevel="0" collapsed="false">
      <c r="A192" s="71" t="s">
        <v>31</v>
      </c>
      <c r="B192" s="71" t="s">
        <v>490</v>
      </c>
      <c r="C192" s="72" t="n">
        <f aca="false">Cap_06!B115</f>
        <v>120000</v>
      </c>
      <c r="D192" s="72" t="n">
        <f aca="false">Cap_06!D115</f>
        <v>120000</v>
      </c>
      <c r="E192" s="73" t="str">
        <f aca="false">Cap_06!E115</f>
        <v>OK</v>
      </c>
    </row>
    <row r="193" customFormat="false" ht="15" hidden="false" customHeight="true" outlineLevel="0" collapsed="false">
      <c r="A193" s="71" t="s">
        <v>31</v>
      </c>
      <c r="B193" s="71" t="s">
        <v>491</v>
      </c>
      <c r="C193" s="72" t="n">
        <f aca="false">Cap_06!B116</f>
        <v>0</v>
      </c>
      <c r="D193" s="72" t="n">
        <f aca="false">Cap_06!D116</f>
        <v>0</v>
      </c>
      <c r="E193" s="73" t="str">
        <f aca="false">Cap_06!E116</f>
        <v>OK</v>
      </c>
    </row>
    <row r="194" customFormat="false" ht="15" hidden="false" customHeight="true" outlineLevel="0" collapsed="false">
      <c r="A194" s="71" t="s">
        <v>31</v>
      </c>
      <c r="B194" s="71" t="s">
        <v>379</v>
      </c>
      <c r="C194" s="72" t="n">
        <f aca="false">Cap_06!B117</f>
        <v>0</v>
      </c>
      <c r="D194" s="72" t="n">
        <f aca="false">Cap_06!D117</f>
        <v>0</v>
      </c>
      <c r="E194" s="73" t="str">
        <f aca="false">Cap_06!E117</f>
        <v>OK</v>
      </c>
    </row>
    <row r="195" customFormat="false" ht="15" hidden="false" customHeight="true" outlineLevel="0" collapsed="false">
      <c r="A195" s="71" t="s">
        <v>31</v>
      </c>
      <c r="B195" s="71" t="s">
        <v>494</v>
      </c>
      <c r="C195" s="75" t="n">
        <f aca="false">Cap_06!B122</f>
        <v>5</v>
      </c>
      <c r="D195" s="75" t="n">
        <f aca="false">Cap_06!D122</f>
        <v>5</v>
      </c>
      <c r="E195" s="73" t="str">
        <f aca="false">Cap_06!E122</f>
        <v>OK</v>
      </c>
    </row>
    <row r="196" customFormat="false" ht="15" hidden="false" customHeight="true" outlineLevel="0" collapsed="false">
      <c r="A196" s="71" t="s">
        <v>31</v>
      </c>
      <c r="B196" s="71" t="s">
        <v>495</v>
      </c>
      <c r="C196" s="75" t="n">
        <f aca="false">Cap_06!B123</f>
        <v>5.71428571428571</v>
      </c>
      <c r="D196" s="75" t="n">
        <f aca="false">Cap_06!D123</f>
        <v>5.71</v>
      </c>
      <c r="E196" s="73" t="str">
        <f aca="false">Cap_06!E123</f>
        <v>OK</v>
      </c>
    </row>
    <row r="197" customFormat="false" ht="15" hidden="false" customHeight="true" outlineLevel="0" collapsed="false">
      <c r="A197" s="71" t="s">
        <v>31</v>
      </c>
      <c r="B197" s="71" t="s">
        <v>496</v>
      </c>
      <c r="C197" s="77" t="n">
        <f aca="false">Cap_06!B124</f>
        <v>5.45454545454545</v>
      </c>
      <c r="D197" s="77" t="n">
        <f aca="false">Cap_06!D124</f>
        <v>5.4545</v>
      </c>
      <c r="E197" s="73" t="str">
        <f aca="false">Cap_06!E124</f>
        <v>OK</v>
      </c>
    </row>
    <row r="198" customFormat="false" ht="15" hidden="false" customHeight="true" outlineLevel="0" collapsed="false">
      <c r="A198" s="71" t="s">
        <v>31</v>
      </c>
      <c r="B198" s="71" t="s">
        <v>499</v>
      </c>
      <c r="C198" s="72" t="n">
        <f aca="false">Cap_06!B129</f>
        <v>12000</v>
      </c>
      <c r="D198" s="72" t="n">
        <f aca="false">Cap_06!D129</f>
        <v>12000</v>
      </c>
      <c r="E198" s="73" t="str">
        <f aca="false">Cap_06!E129</f>
        <v>OK</v>
      </c>
    </row>
    <row r="199" customFormat="false" ht="15" hidden="false" customHeight="true" outlineLevel="0" collapsed="false">
      <c r="A199" s="71" t="s">
        <v>31</v>
      </c>
      <c r="B199" s="71" t="s">
        <v>500</v>
      </c>
      <c r="C199" s="72" t="n">
        <f aca="false">Cap_06!B130</f>
        <v>60000</v>
      </c>
      <c r="D199" s="72" t="n">
        <f aca="false">Cap_06!D130</f>
        <v>60000</v>
      </c>
      <c r="E199" s="73" t="str">
        <f aca="false">Cap_06!E130</f>
        <v>OK</v>
      </c>
    </row>
    <row r="200" customFormat="false" ht="15" hidden="false" customHeight="true" outlineLevel="0" collapsed="false">
      <c r="A200" s="71" t="s">
        <v>31</v>
      </c>
      <c r="B200" s="71" t="s">
        <v>501</v>
      </c>
      <c r="C200" s="75" t="n">
        <f aca="false">Cap_06!B131</f>
        <v>7.5</v>
      </c>
      <c r="D200" s="75" t="n">
        <f aca="false">Cap_06!D131</f>
        <v>7.5</v>
      </c>
      <c r="E200" s="73" t="str">
        <f aca="false">Cap_06!E131</f>
        <v>OK</v>
      </c>
    </row>
    <row r="201" customFormat="false" ht="15" hidden="false" customHeight="true" outlineLevel="0" collapsed="false">
      <c r="A201" s="71" t="s">
        <v>31</v>
      </c>
      <c r="B201" s="71" t="s">
        <v>502</v>
      </c>
      <c r="C201" s="72" t="n">
        <f aca="false">Cap_06!B132</f>
        <v>43636.3636363636</v>
      </c>
      <c r="D201" s="72" t="n">
        <f aca="false">Cap_06!D132</f>
        <v>43636</v>
      </c>
      <c r="E201" s="73" t="str">
        <f aca="false">Cap_06!E132</f>
        <v>OK</v>
      </c>
    </row>
    <row r="202" customFormat="false" ht="15" hidden="false" customHeight="true" outlineLevel="0" collapsed="false">
      <c r="A202" s="71" t="s">
        <v>31</v>
      </c>
      <c r="B202" s="71" t="s">
        <v>503</v>
      </c>
      <c r="C202" s="72" t="n">
        <f aca="false">Cap_06!B133</f>
        <v>-16363.6363636364</v>
      </c>
      <c r="D202" s="72" t="n">
        <f aca="false">Cap_06!D133</f>
        <v>-16364</v>
      </c>
      <c r="E202" s="73" t="str">
        <f aca="false">Cap_06!E133</f>
        <v>OK</v>
      </c>
    </row>
    <row r="203" customFormat="false" ht="15" hidden="false" customHeight="true" outlineLevel="0" collapsed="false">
      <c r="A203" s="71" t="s">
        <v>31</v>
      </c>
      <c r="B203" s="71" t="s">
        <v>504</v>
      </c>
      <c r="C203" s="72" t="n">
        <f aca="false">Cap_06!B134</f>
        <v>6000</v>
      </c>
      <c r="D203" s="72" t="n">
        <f aca="false">Cap_06!D134</f>
        <v>6000</v>
      </c>
      <c r="E203" s="73" t="str">
        <f aca="false">Cap_06!E134</f>
        <v>OK</v>
      </c>
    </row>
    <row r="204" customFormat="false" ht="15" hidden="false" customHeight="true" outlineLevel="0" collapsed="false">
      <c r="A204" s="71" t="s">
        <v>31</v>
      </c>
      <c r="B204" s="71" t="s">
        <v>505</v>
      </c>
      <c r="C204" s="72" t="n">
        <f aca="false">Cap_06!B135</f>
        <v>30000</v>
      </c>
      <c r="D204" s="72" t="n">
        <f aca="false">Cap_06!D135</f>
        <v>30000</v>
      </c>
      <c r="E204" s="73" t="str">
        <f aca="false">Cap_06!E135</f>
        <v>OK</v>
      </c>
    </row>
    <row r="205" customFormat="false" ht="15" hidden="false" customHeight="true" outlineLevel="0" collapsed="false">
      <c r="A205" s="71" t="s">
        <v>31</v>
      </c>
      <c r="B205" s="71" t="s">
        <v>506</v>
      </c>
      <c r="C205" s="75" t="n">
        <f aca="false">Cap_06!B136</f>
        <v>2.5</v>
      </c>
      <c r="D205" s="75" t="n">
        <f aca="false">Cap_06!D136</f>
        <v>2.5</v>
      </c>
      <c r="E205" s="73" t="str">
        <f aca="false">Cap_06!E136</f>
        <v>OK</v>
      </c>
    </row>
    <row r="206" customFormat="false" ht="15" hidden="false" customHeight="true" outlineLevel="0" collapsed="false">
      <c r="A206" s="71" t="s">
        <v>31</v>
      </c>
      <c r="B206" s="71" t="s">
        <v>507</v>
      </c>
      <c r="C206" s="72" t="n">
        <f aca="false">Cap_06!B137</f>
        <v>65454.5454545455</v>
      </c>
      <c r="D206" s="72" t="n">
        <f aca="false">Cap_06!D137</f>
        <v>65455</v>
      </c>
      <c r="E206" s="73" t="str">
        <f aca="false">Cap_06!E137</f>
        <v>OK</v>
      </c>
    </row>
    <row r="207" customFormat="false" ht="15" hidden="false" customHeight="true" outlineLevel="0" collapsed="false">
      <c r="A207" s="71" t="s">
        <v>31</v>
      </c>
      <c r="B207" s="71" t="s">
        <v>508</v>
      </c>
      <c r="C207" s="72" t="n">
        <f aca="false">Cap_06!B138</f>
        <v>35454.5454545455</v>
      </c>
      <c r="D207" s="72" t="n">
        <f aca="false">Cap_06!D138</f>
        <v>35455</v>
      </c>
      <c r="E207" s="73" t="str">
        <f aca="false">Cap_06!E138</f>
        <v>OK</v>
      </c>
    </row>
    <row r="208" customFormat="false" ht="15" hidden="false" customHeight="true" outlineLevel="0" collapsed="false">
      <c r="A208" s="71" t="s">
        <v>31</v>
      </c>
      <c r="B208" s="71" t="s">
        <v>509</v>
      </c>
      <c r="C208" s="72" t="n">
        <f aca="false">Cap_06!B139</f>
        <v>6000</v>
      </c>
      <c r="D208" s="72" t="n">
        <f aca="false">Cap_06!D139</f>
        <v>6000</v>
      </c>
      <c r="E208" s="73" t="str">
        <f aca="false">Cap_06!E139</f>
        <v>OK</v>
      </c>
    </row>
    <row r="209" customFormat="false" ht="15" hidden="false" customHeight="true" outlineLevel="0" collapsed="false">
      <c r="A209" s="71" t="s">
        <v>31</v>
      </c>
      <c r="B209" s="71" t="s">
        <v>510</v>
      </c>
      <c r="C209" s="72" t="n">
        <f aca="false">Cap_06!B140</f>
        <v>30000</v>
      </c>
      <c r="D209" s="72" t="n">
        <f aca="false">Cap_06!D140</f>
        <v>30000</v>
      </c>
      <c r="E209" s="73" t="str">
        <f aca="false">Cap_06!E140</f>
        <v>OK</v>
      </c>
    </row>
    <row r="210" customFormat="false" ht="15" hidden="false" customHeight="true" outlineLevel="0" collapsed="false">
      <c r="A210" s="71" t="s">
        <v>31</v>
      </c>
      <c r="B210" s="71" t="s">
        <v>511</v>
      </c>
      <c r="C210" s="75" t="n">
        <f aca="false">Cap_06!B141</f>
        <v>15</v>
      </c>
      <c r="D210" s="75" t="n">
        <f aca="false">Cap_06!D141</f>
        <v>15</v>
      </c>
      <c r="E210" s="73" t="str">
        <f aca="false">Cap_06!E141</f>
        <v>OK</v>
      </c>
    </row>
    <row r="211" customFormat="false" ht="15" hidden="false" customHeight="true" outlineLevel="0" collapsed="false">
      <c r="A211" s="71" t="s">
        <v>31</v>
      </c>
      <c r="B211" s="71" t="s">
        <v>512</v>
      </c>
      <c r="C211" s="72" t="n">
        <f aca="false">Cap_06!B142</f>
        <v>10909.0909090909</v>
      </c>
      <c r="D211" s="72" t="n">
        <f aca="false">Cap_06!D142</f>
        <v>10909</v>
      </c>
      <c r="E211" s="73" t="str">
        <f aca="false">Cap_06!E142</f>
        <v>OK</v>
      </c>
    </row>
    <row r="212" customFormat="false" ht="15" hidden="false" customHeight="true" outlineLevel="0" collapsed="false">
      <c r="A212" s="71" t="s">
        <v>31</v>
      </c>
      <c r="B212" s="71" t="s">
        <v>513</v>
      </c>
      <c r="C212" s="72" t="n">
        <f aca="false">Cap_06!B143</f>
        <v>-19090.9090909091</v>
      </c>
      <c r="D212" s="72" t="n">
        <f aca="false">Cap_06!D143</f>
        <v>-19091</v>
      </c>
      <c r="E212" s="73" t="str">
        <f aca="false">Cap_06!E143</f>
        <v>OK</v>
      </c>
    </row>
    <row r="213" customFormat="false" ht="15" hidden="false" customHeight="true" outlineLevel="0" collapsed="false">
      <c r="A213" s="71" t="s">
        <v>31</v>
      </c>
      <c r="B213" s="71" t="s">
        <v>476</v>
      </c>
      <c r="C213" s="72" t="n">
        <f aca="false">Cap_06!B144</f>
        <v>24000</v>
      </c>
      <c r="D213" s="72" t="n">
        <f aca="false">Cap_06!D144</f>
        <v>24000</v>
      </c>
      <c r="E213" s="73" t="str">
        <f aca="false">Cap_06!E144</f>
        <v>OK</v>
      </c>
    </row>
    <row r="214" customFormat="false" ht="15" hidden="false" customHeight="true" outlineLevel="0" collapsed="false">
      <c r="A214" s="71" t="s">
        <v>31</v>
      </c>
      <c r="B214" s="71" t="s">
        <v>514</v>
      </c>
      <c r="C214" s="72" t="n">
        <f aca="false">Cap_06!B145</f>
        <v>120000</v>
      </c>
      <c r="D214" s="72" t="n">
        <f aca="false">Cap_06!D145</f>
        <v>120000</v>
      </c>
      <c r="E214" s="73" t="str">
        <f aca="false">Cap_06!E145</f>
        <v>OK</v>
      </c>
    </row>
    <row r="215" customFormat="false" ht="15" hidden="false" customHeight="true" outlineLevel="0" collapsed="false">
      <c r="A215" s="71" t="s">
        <v>31</v>
      </c>
      <c r="B215" s="71" t="s">
        <v>515</v>
      </c>
      <c r="C215" s="72" t="n">
        <f aca="false">Cap_06!B146</f>
        <v>120000</v>
      </c>
      <c r="D215" s="72" t="n">
        <f aca="false">Cap_06!D146</f>
        <v>120000</v>
      </c>
      <c r="E215" s="73" t="str">
        <f aca="false">Cap_06!E146</f>
        <v>OK</v>
      </c>
    </row>
    <row r="216" customFormat="false" ht="15" hidden="false" customHeight="true" outlineLevel="0" collapsed="false">
      <c r="A216" s="71" t="s">
        <v>31</v>
      </c>
      <c r="B216" s="71" t="s">
        <v>516</v>
      </c>
      <c r="C216" s="72" t="n">
        <f aca="false">Cap_06!B147</f>
        <v>0</v>
      </c>
      <c r="D216" s="72" t="n">
        <f aca="false">Cap_06!D147</f>
        <v>0</v>
      </c>
      <c r="E216" s="73" t="str">
        <f aca="false">Cap_06!E147</f>
        <v>OK</v>
      </c>
    </row>
    <row r="217" customFormat="false" ht="15" hidden="false" customHeight="true" outlineLevel="0" collapsed="false">
      <c r="A217" s="71" t="s">
        <v>31</v>
      </c>
      <c r="B217" s="71" t="s">
        <v>517</v>
      </c>
      <c r="C217" s="75" t="n">
        <f aca="false">Cap_06!B148</f>
        <v>6</v>
      </c>
      <c r="D217" s="75" t="n">
        <f aca="false">Cap_06!D148</f>
        <v>6</v>
      </c>
      <c r="E217" s="73" t="str">
        <f aca="false">Cap_06!E148</f>
        <v>OK</v>
      </c>
    </row>
    <row r="218" customFormat="false" ht="15" hidden="false" customHeight="true" outlineLevel="0" collapsed="false">
      <c r="A218" s="71" t="s">
        <v>34</v>
      </c>
      <c r="B218" s="71" t="s">
        <v>527</v>
      </c>
      <c r="C218" s="72" t="n">
        <f aca="false">Cap_07!B13</f>
        <v>70</v>
      </c>
      <c r="D218" s="72" t="n">
        <f aca="false">Cap_07!D13</f>
        <v>70</v>
      </c>
      <c r="E218" s="73" t="str">
        <f aca="false">Cap_07!E13</f>
        <v>OK</v>
      </c>
    </row>
    <row r="219" customFormat="false" ht="15" hidden="false" customHeight="true" outlineLevel="0" collapsed="false">
      <c r="A219" s="71" t="s">
        <v>34</v>
      </c>
      <c r="B219" s="71" t="s">
        <v>528</v>
      </c>
      <c r="C219" s="72" t="n">
        <f aca="false">Cap_07!B14</f>
        <v>88</v>
      </c>
      <c r="D219" s="72" t="n">
        <f aca="false">Cap_07!D14</f>
        <v>88</v>
      </c>
      <c r="E219" s="73" t="str">
        <f aca="false">Cap_07!E14</f>
        <v>OK</v>
      </c>
    </row>
    <row r="220" customFormat="false" ht="15" hidden="false" customHeight="true" outlineLevel="0" collapsed="false">
      <c r="A220" s="71" t="s">
        <v>34</v>
      </c>
      <c r="B220" s="71" t="s">
        <v>529</v>
      </c>
      <c r="C220" s="72" t="n">
        <f aca="false">Cap_07!B15</f>
        <v>100</v>
      </c>
      <c r="D220" s="72" t="n">
        <f aca="false">Cap_07!D15</f>
        <v>100</v>
      </c>
      <c r="E220" s="73" t="str">
        <f aca="false">Cap_07!E15</f>
        <v>OK</v>
      </c>
    </row>
    <row r="221" customFormat="false" ht="15" hidden="false" customHeight="true" outlineLevel="0" collapsed="false">
      <c r="A221" s="71" t="s">
        <v>34</v>
      </c>
      <c r="B221" s="71" t="s">
        <v>535</v>
      </c>
      <c r="C221" s="72" t="n">
        <f aca="false">Cap_07!B23</f>
        <v>100</v>
      </c>
      <c r="D221" s="72" t="n">
        <f aca="false">Cap_07!D23</f>
        <v>100</v>
      </c>
      <c r="E221" s="73" t="str">
        <f aca="false">Cap_07!E23</f>
        <v>OK</v>
      </c>
    </row>
    <row r="222" customFormat="false" ht="15" hidden="false" customHeight="true" outlineLevel="0" collapsed="false">
      <c r="A222" s="71" t="s">
        <v>34</v>
      </c>
      <c r="B222" s="71" t="s">
        <v>536</v>
      </c>
      <c r="C222" s="72" t="n">
        <f aca="false">Cap_07!B24</f>
        <v>40</v>
      </c>
      <c r="D222" s="72" t="n">
        <f aca="false">Cap_07!D24</f>
        <v>40</v>
      </c>
      <c r="E222" s="73" t="str">
        <f aca="false">Cap_07!E24</f>
        <v>OK</v>
      </c>
    </row>
    <row r="223" customFormat="false" ht="15" hidden="false" customHeight="true" outlineLevel="0" collapsed="false">
      <c r="A223" s="71" t="s">
        <v>34</v>
      </c>
      <c r="B223" s="71" t="s">
        <v>540</v>
      </c>
      <c r="C223" s="72" t="n">
        <f aca="false">Cap_07!B28</f>
        <v>95</v>
      </c>
      <c r="D223" s="72" t="n">
        <f aca="false">Cap_07!D28</f>
        <v>95</v>
      </c>
      <c r="E223" s="73" t="str">
        <f aca="false">Cap_07!E28</f>
        <v>OK</v>
      </c>
    </row>
    <row r="224" customFormat="false" ht="15" hidden="false" customHeight="true" outlineLevel="0" collapsed="false">
      <c r="A224" s="71" t="s">
        <v>34</v>
      </c>
      <c r="B224" s="71" t="s">
        <v>541</v>
      </c>
      <c r="C224" s="72" t="n">
        <f aca="false">Cap_07!B29</f>
        <v>15</v>
      </c>
      <c r="D224" s="72" t="n">
        <f aca="false">Cap_07!D29</f>
        <v>15</v>
      </c>
      <c r="E224" s="73" t="str">
        <f aca="false">Cap_07!E29</f>
        <v>OK</v>
      </c>
    </row>
    <row r="225" customFormat="false" ht="15" hidden="false" customHeight="true" outlineLevel="0" collapsed="false">
      <c r="A225" s="71" t="s">
        <v>34</v>
      </c>
      <c r="B225" s="71" t="s">
        <v>544</v>
      </c>
      <c r="C225" s="72" t="n">
        <f aca="false">Cap_07!B34</f>
        <v>700000</v>
      </c>
      <c r="D225" s="72" t="n">
        <f aca="false">Cap_07!D34</f>
        <v>700000</v>
      </c>
      <c r="E225" s="73" t="str">
        <f aca="false">Cap_07!E34</f>
        <v>OK</v>
      </c>
    </row>
    <row r="226" customFormat="false" ht="15" hidden="false" customHeight="true" outlineLevel="0" collapsed="false">
      <c r="A226" s="71" t="s">
        <v>34</v>
      </c>
      <c r="B226" s="71" t="s">
        <v>545</v>
      </c>
      <c r="C226" s="72" t="n">
        <f aca="false">Cap_07!B35</f>
        <v>297696.396928529</v>
      </c>
      <c r="D226" s="72" t="n">
        <f aca="false">Cap_07!D35</f>
        <v>297696</v>
      </c>
      <c r="E226" s="73" t="str">
        <f aca="false">Cap_07!E35</f>
        <v>OK</v>
      </c>
    </row>
    <row r="227" customFormat="false" ht="15" hidden="false" customHeight="true" outlineLevel="0" collapsed="false">
      <c r="A227" s="71" t="s">
        <v>34</v>
      </c>
      <c r="B227" s="71" t="s">
        <v>546</v>
      </c>
      <c r="C227" s="72" t="n">
        <f aca="false">Cap_07!B36</f>
        <v>282811.577082103</v>
      </c>
      <c r="D227" s="72" t="n">
        <f aca="false">Cap_07!D36</f>
        <v>282812</v>
      </c>
      <c r="E227" s="73" t="str">
        <f aca="false">Cap_07!E36</f>
        <v>OK</v>
      </c>
    </row>
    <row r="228" customFormat="false" ht="15" hidden="false" customHeight="true" outlineLevel="0" collapsed="false">
      <c r="A228" s="71" t="s">
        <v>34</v>
      </c>
      <c r="B228" s="71" t="s">
        <v>547</v>
      </c>
      <c r="C228" s="72" t="n">
        <f aca="false">Cap_07!B37</f>
        <v>119492.025989368</v>
      </c>
      <c r="D228" s="72" t="n">
        <f aca="false">Cap_07!D37</f>
        <v>119492</v>
      </c>
      <c r="E228" s="73" t="str">
        <f aca="false">Cap_07!E37</f>
        <v>OK</v>
      </c>
    </row>
    <row r="229" customFormat="false" ht="15" hidden="false" customHeight="true" outlineLevel="0" collapsed="false">
      <c r="A229" s="71" t="s">
        <v>34</v>
      </c>
      <c r="B229" s="71" t="s">
        <v>548</v>
      </c>
      <c r="C229" s="72" t="n">
        <f aca="false">Cap_07!B38</f>
        <v>700000</v>
      </c>
      <c r="D229" s="72" t="n">
        <f aca="false">Cap_07!D38</f>
        <v>700000</v>
      </c>
      <c r="E229" s="73" t="str">
        <f aca="false">Cap_07!E38</f>
        <v>OK</v>
      </c>
    </row>
    <row r="230" customFormat="false" ht="15" hidden="false" customHeight="true" outlineLevel="0" collapsed="false">
      <c r="A230" s="71" t="s">
        <v>34</v>
      </c>
      <c r="B230" s="71" t="s">
        <v>551</v>
      </c>
      <c r="C230" s="75" t="n">
        <f aca="false">Cap_07!B43</f>
        <v>7.5</v>
      </c>
      <c r="D230" s="75" t="n">
        <f aca="false">Cap_07!D43</f>
        <v>7.5</v>
      </c>
      <c r="E230" s="73" t="str">
        <f aca="false">Cap_07!E43</f>
        <v>OK</v>
      </c>
    </row>
    <row r="231" customFormat="false" ht="15" hidden="false" customHeight="true" outlineLevel="0" collapsed="false">
      <c r="A231" s="71" t="s">
        <v>34</v>
      </c>
      <c r="B231" s="71" t="s">
        <v>552</v>
      </c>
      <c r="C231" s="75" t="n">
        <f aca="false">Cap_07!B44</f>
        <v>124.5</v>
      </c>
      <c r="D231" s="75" t="n">
        <f aca="false">Cap_07!D44</f>
        <v>124.5</v>
      </c>
      <c r="E231" s="73" t="str">
        <f aca="false">Cap_07!E44</f>
        <v>OK</v>
      </c>
    </row>
    <row r="232" customFormat="false" ht="15" hidden="false" customHeight="true" outlineLevel="0" collapsed="false">
      <c r="A232" s="71" t="s">
        <v>34</v>
      </c>
      <c r="B232" s="71" t="s">
        <v>553</v>
      </c>
      <c r="C232" s="75" t="n">
        <f aca="false">Cap_07!B45</f>
        <v>37.2120496160662</v>
      </c>
      <c r="D232" s="75" t="n">
        <f aca="false">Cap_07!D45</f>
        <v>37.21</v>
      </c>
      <c r="E232" s="73" t="str">
        <f aca="false">Cap_07!E45</f>
        <v>OK</v>
      </c>
    </row>
    <row r="233" customFormat="false" ht="15" hidden="false" customHeight="true" outlineLevel="0" collapsed="false">
      <c r="A233" s="71" t="s">
        <v>34</v>
      </c>
      <c r="B233" s="71" t="s">
        <v>554</v>
      </c>
      <c r="C233" s="75" t="n">
        <f aca="false">Cap_07!B46</f>
        <v>161.712049616066</v>
      </c>
      <c r="D233" s="75" t="n">
        <f aca="false">Cap_07!D46</f>
        <v>161.71</v>
      </c>
      <c r="E233" s="73" t="str">
        <f aca="false">Cap_07!E46</f>
        <v>OK</v>
      </c>
    </row>
    <row r="234" customFormat="false" ht="15" hidden="false" customHeight="true" outlineLevel="0" collapsed="false">
      <c r="A234" s="71" t="s">
        <v>34</v>
      </c>
      <c r="B234" s="71" t="s">
        <v>555</v>
      </c>
      <c r="C234" s="75" t="n">
        <f aca="false">Cap_07!B47</f>
        <v>18.2879503839338</v>
      </c>
      <c r="D234" s="75" t="n">
        <f aca="false">Cap_07!D47</f>
        <v>18.29</v>
      </c>
      <c r="E234" s="73" t="str">
        <f aca="false">Cap_07!E47</f>
        <v>OK</v>
      </c>
    </row>
    <row r="235" customFormat="false" ht="15" hidden="false" customHeight="true" outlineLevel="0" collapsed="false">
      <c r="A235" s="71" t="s">
        <v>34</v>
      </c>
      <c r="B235" s="71" t="s">
        <v>556</v>
      </c>
      <c r="C235" s="75" t="n">
        <f aca="false">Cap_07!B48</f>
        <v>2.5</v>
      </c>
      <c r="D235" s="75" t="n">
        <f aca="false">Cap_07!D48</f>
        <v>2.5</v>
      </c>
      <c r="E235" s="73" t="str">
        <f aca="false">Cap_07!E48</f>
        <v>OK</v>
      </c>
    </row>
    <row r="236" customFormat="false" ht="15" hidden="false" customHeight="true" outlineLevel="0" collapsed="false">
      <c r="A236" s="71" t="s">
        <v>34</v>
      </c>
      <c r="B236" s="71" t="s">
        <v>557</v>
      </c>
      <c r="C236" s="75" t="n">
        <f aca="false">Cap_07!B49</f>
        <v>78.5</v>
      </c>
      <c r="D236" s="75" t="n">
        <f aca="false">Cap_07!D49</f>
        <v>78.5</v>
      </c>
      <c r="E236" s="73" t="str">
        <f aca="false">Cap_07!E49</f>
        <v>OK</v>
      </c>
    </row>
    <row r="237" customFormat="false" ht="15" hidden="false" customHeight="true" outlineLevel="0" collapsed="false">
      <c r="A237" s="71" t="s">
        <v>34</v>
      </c>
      <c r="B237" s="71" t="s">
        <v>558</v>
      </c>
      <c r="C237" s="75" t="n">
        <f aca="false">Cap_07!B50</f>
        <v>23.5676314235086</v>
      </c>
      <c r="D237" s="75" t="n">
        <f aca="false">Cap_07!D50</f>
        <v>23.57</v>
      </c>
      <c r="E237" s="73" t="str">
        <f aca="false">Cap_07!E50</f>
        <v>OK</v>
      </c>
    </row>
    <row r="238" customFormat="false" ht="15" hidden="false" customHeight="true" outlineLevel="0" collapsed="false">
      <c r="A238" s="71" t="s">
        <v>34</v>
      </c>
      <c r="B238" s="71" t="s">
        <v>559</v>
      </c>
      <c r="C238" s="75" t="n">
        <f aca="false">Cap_07!B51</f>
        <v>102.067631423509</v>
      </c>
      <c r="D238" s="75" t="n">
        <f aca="false">Cap_07!D51</f>
        <v>102.07</v>
      </c>
      <c r="E238" s="73" t="str">
        <f aca="false">Cap_07!E51</f>
        <v>OK</v>
      </c>
    </row>
    <row r="239" customFormat="false" ht="15" hidden="false" customHeight="true" outlineLevel="0" collapsed="false">
      <c r="A239" s="71" t="s">
        <v>34</v>
      </c>
      <c r="B239" s="71" t="s">
        <v>560</v>
      </c>
      <c r="C239" s="75" t="n">
        <f aca="false">Cap_07!B52</f>
        <v>11.9323685764914</v>
      </c>
      <c r="D239" s="75" t="n">
        <f aca="false">Cap_07!D52</f>
        <v>11.93</v>
      </c>
      <c r="E239" s="73" t="str">
        <f aca="false">Cap_07!E52</f>
        <v>OK</v>
      </c>
    </row>
    <row r="240" customFormat="false" ht="15" hidden="false" customHeight="true" outlineLevel="0" collapsed="false">
      <c r="A240" s="71" t="s">
        <v>34</v>
      </c>
      <c r="B240" s="71" t="s">
        <v>561</v>
      </c>
      <c r="C240" s="75" t="n">
        <f aca="false">Cap_07!B53</f>
        <v>15</v>
      </c>
      <c r="D240" s="75" t="n">
        <f aca="false">Cap_07!D53</f>
        <v>15</v>
      </c>
      <c r="E240" s="73" t="str">
        <f aca="false">Cap_07!E53</f>
        <v>OK</v>
      </c>
    </row>
    <row r="241" customFormat="false" ht="15" hidden="false" customHeight="true" outlineLevel="0" collapsed="false">
      <c r="A241" s="71" t="s">
        <v>34</v>
      </c>
      <c r="B241" s="71" t="s">
        <v>562</v>
      </c>
      <c r="C241" s="75" t="n">
        <f aca="false">Cap_07!B54</f>
        <v>253</v>
      </c>
      <c r="D241" s="75" t="n">
        <f aca="false">Cap_07!D54</f>
        <v>253</v>
      </c>
      <c r="E241" s="73" t="str">
        <f aca="false">Cap_07!E54</f>
        <v>OK</v>
      </c>
    </row>
    <row r="242" customFormat="false" ht="15" hidden="false" customHeight="true" outlineLevel="0" collapsed="false">
      <c r="A242" s="71" t="s">
        <v>34</v>
      </c>
      <c r="B242" s="71" t="s">
        <v>563</v>
      </c>
      <c r="C242" s="75" t="n">
        <f aca="false">Cap_07!B55</f>
        <v>59.746012994684</v>
      </c>
      <c r="D242" s="75" t="n">
        <f aca="false">Cap_07!D55</f>
        <v>59.75</v>
      </c>
      <c r="E242" s="73" t="str">
        <f aca="false">Cap_07!E55</f>
        <v>OK</v>
      </c>
    </row>
    <row r="243" customFormat="false" ht="15" hidden="false" customHeight="true" outlineLevel="0" collapsed="false">
      <c r="A243" s="71" t="s">
        <v>34</v>
      </c>
      <c r="B243" s="71" t="s">
        <v>564</v>
      </c>
      <c r="C243" s="75" t="n">
        <f aca="false">Cap_07!B56</f>
        <v>312.746012994684</v>
      </c>
      <c r="D243" s="75" t="n">
        <f aca="false">Cap_07!D56</f>
        <v>312.75</v>
      </c>
      <c r="E243" s="73" t="str">
        <f aca="false">Cap_07!E56</f>
        <v>OK</v>
      </c>
    </row>
    <row r="244" customFormat="false" ht="15" hidden="false" customHeight="true" outlineLevel="0" collapsed="false">
      <c r="A244" s="71" t="s">
        <v>34</v>
      </c>
      <c r="B244" s="71" t="s">
        <v>565</v>
      </c>
      <c r="C244" s="75" t="n">
        <f aca="false">Cap_07!B57</f>
        <v>-23.746012994684</v>
      </c>
      <c r="D244" s="75" t="n">
        <f aca="false">Cap_07!D57</f>
        <v>-23.75</v>
      </c>
      <c r="E244" s="73" t="str">
        <f aca="false">Cap_07!E57</f>
        <v>OK</v>
      </c>
    </row>
    <row r="245" customFormat="false" ht="15" hidden="false" customHeight="true" outlineLevel="0" collapsed="false">
      <c r="A245" s="71" t="s">
        <v>34</v>
      </c>
      <c r="B245" s="71" t="s">
        <v>568</v>
      </c>
      <c r="C245" s="72" t="n">
        <f aca="false">Cap_07!B62</f>
        <v>146303.603071471</v>
      </c>
      <c r="D245" s="72" t="n">
        <f aca="false">Cap_07!D62</f>
        <v>146304</v>
      </c>
      <c r="E245" s="73" t="str">
        <f aca="false">Cap_07!E62</f>
        <v>OK</v>
      </c>
    </row>
    <row r="246" customFormat="false" ht="15" hidden="false" customHeight="true" outlineLevel="0" collapsed="false">
      <c r="A246" s="71" t="s">
        <v>34</v>
      </c>
      <c r="B246" s="71" t="s">
        <v>569</v>
      </c>
      <c r="C246" s="72" t="n">
        <f aca="false">Cap_07!B63</f>
        <v>143188.422917897</v>
      </c>
      <c r="D246" s="72" t="n">
        <f aca="false">Cap_07!D63</f>
        <v>143188</v>
      </c>
      <c r="E246" s="73" t="str">
        <f aca="false">Cap_07!E63</f>
        <v>OK</v>
      </c>
    </row>
    <row r="247" customFormat="false" ht="15" hidden="false" customHeight="true" outlineLevel="0" collapsed="false">
      <c r="A247" s="71" t="s">
        <v>34</v>
      </c>
      <c r="B247" s="71" t="s">
        <v>570</v>
      </c>
      <c r="C247" s="72" t="n">
        <f aca="false">Cap_07!B64</f>
        <v>-47492.025989368</v>
      </c>
      <c r="D247" s="72" t="n">
        <f aca="false">Cap_07!D64</f>
        <v>-47492</v>
      </c>
      <c r="E247" s="73" t="str">
        <f aca="false">Cap_07!E64</f>
        <v>OK</v>
      </c>
    </row>
    <row r="248" customFormat="false" ht="15" hidden="false" customHeight="true" outlineLevel="0" collapsed="false">
      <c r="A248" s="71" t="s">
        <v>34</v>
      </c>
      <c r="B248" s="71" t="s">
        <v>571</v>
      </c>
      <c r="C248" s="72" t="n">
        <f aca="false">Cap_07!B65</f>
        <v>242000</v>
      </c>
      <c r="D248" s="72" t="n">
        <f aca="false">Cap_07!D65</f>
        <v>242000</v>
      </c>
      <c r="E248" s="73" t="str">
        <f aca="false">Cap_07!E65</f>
        <v>OK</v>
      </c>
    </row>
    <row r="249" customFormat="false" ht="15" hidden="false" customHeight="true" outlineLevel="0" collapsed="false">
      <c r="A249" s="71" t="s">
        <v>34</v>
      </c>
      <c r="B249" s="71" t="s">
        <v>572</v>
      </c>
      <c r="C249" s="72" t="n">
        <f aca="false">Cap_07!B66</f>
        <v>0</v>
      </c>
      <c r="D249" s="72" t="n">
        <f aca="false">Cap_07!D66</f>
        <v>0</v>
      </c>
      <c r="E249" s="73" t="str">
        <f aca="false">Cap_07!E66</f>
        <v>OK</v>
      </c>
    </row>
    <row r="250" customFormat="false" ht="15" hidden="false" customHeight="true" outlineLevel="0" collapsed="false">
      <c r="A250" s="71" t="s">
        <v>34</v>
      </c>
      <c r="B250" s="71" t="s">
        <v>573</v>
      </c>
      <c r="C250" s="75" t="n">
        <f aca="false">Cap_07!B67</f>
        <v>36</v>
      </c>
      <c r="D250" s="75" t="n">
        <f aca="false">Cap_07!D67</f>
        <v>36</v>
      </c>
      <c r="E250" s="73" t="str">
        <f aca="false">Cap_07!E67</f>
        <v>OK</v>
      </c>
    </row>
    <row r="251" customFormat="false" ht="15" hidden="false" customHeight="true" outlineLevel="0" collapsed="false">
      <c r="A251" s="71" t="s">
        <v>34</v>
      </c>
      <c r="B251" s="71" t="s">
        <v>576</v>
      </c>
      <c r="C251" s="72" t="n">
        <f aca="false">Cap_07!B72</f>
        <v>149492.025989368</v>
      </c>
      <c r="D251" s="72" t="n">
        <f aca="false">Cap_07!D72</f>
        <v>149492</v>
      </c>
      <c r="E251" s="73" t="str">
        <f aca="false">Cap_07!E72</f>
        <v>OK</v>
      </c>
    </row>
    <row r="252" customFormat="false" ht="15" hidden="false" customHeight="true" outlineLevel="0" collapsed="false">
      <c r="A252" s="71" t="s">
        <v>34</v>
      </c>
      <c r="B252" s="71" t="s">
        <v>577</v>
      </c>
      <c r="C252" s="72" t="n">
        <f aca="false">Cap_07!B73</f>
        <v>140000</v>
      </c>
      <c r="D252" s="72" t="n">
        <f aca="false">Cap_07!D73</f>
        <v>140000</v>
      </c>
      <c r="E252" s="73" t="str">
        <f aca="false">Cap_07!E73</f>
        <v>OK</v>
      </c>
    </row>
    <row r="253" customFormat="false" ht="15" hidden="false" customHeight="true" outlineLevel="0" collapsed="false">
      <c r="A253" s="71" t="s">
        <v>34</v>
      </c>
      <c r="B253" s="71" t="s">
        <v>579</v>
      </c>
      <c r="C253" s="72" t="n">
        <f aca="false">Cap_07!B75</f>
        <v>0</v>
      </c>
      <c r="D253" s="72" t="n">
        <f aca="false">Cap_07!D75</f>
        <v>0</v>
      </c>
      <c r="E253" s="73" t="str">
        <f aca="false">Cap_07!E75</f>
        <v>OK</v>
      </c>
    </row>
    <row r="254" customFormat="false" ht="15" hidden="false" customHeight="true" outlineLevel="0" collapsed="false">
      <c r="A254" s="71" t="s">
        <v>34</v>
      </c>
      <c r="B254" s="71" t="s">
        <v>580</v>
      </c>
      <c r="C254" s="72" t="n">
        <f aca="false">Cap_07!B76</f>
        <v>224000</v>
      </c>
      <c r="D254" s="72" t="n">
        <f aca="false">Cap_07!D76</f>
        <v>224000</v>
      </c>
      <c r="E254" s="73" t="str">
        <f aca="false">Cap_07!E76</f>
        <v>OK</v>
      </c>
    </row>
    <row r="255" customFormat="false" ht="15" hidden="false" customHeight="true" outlineLevel="0" collapsed="false">
      <c r="A255" s="71" t="s">
        <v>37</v>
      </c>
      <c r="B255" s="71" t="s">
        <v>587</v>
      </c>
      <c r="C255" s="72" t="n">
        <f aca="false">Cap_08!B11</f>
        <v>40</v>
      </c>
      <c r="D255" s="72" t="n">
        <f aca="false">Cap_08!D11</f>
        <v>40</v>
      </c>
      <c r="E255" s="73" t="str">
        <f aca="false">Cap_08!E11</f>
        <v>OK</v>
      </c>
    </row>
    <row r="256" customFormat="false" ht="15" hidden="false" customHeight="true" outlineLevel="0" collapsed="false">
      <c r="A256" s="71" t="s">
        <v>37</v>
      </c>
      <c r="B256" s="71" t="s">
        <v>588</v>
      </c>
      <c r="C256" s="76" t="n">
        <f aca="false">Cap_08!B12</f>
        <v>0.4</v>
      </c>
      <c r="D256" s="76" t="n">
        <f aca="false">Cap_08!D12</f>
        <v>0.4</v>
      </c>
      <c r="E256" s="73" t="str">
        <f aca="false">Cap_08!E12</f>
        <v>OK</v>
      </c>
    </row>
    <row r="257" customFormat="false" ht="15" hidden="false" customHeight="true" outlineLevel="0" collapsed="false">
      <c r="A257" s="71" t="s">
        <v>37</v>
      </c>
      <c r="B257" s="71" t="s">
        <v>591</v>
      </c>
      <c r="C257" s="72" t="n">
        <f aca="false">Cap_08!B15</f>
        <v>35</v>
      </c>
      <c r="D257" s="72" t="n">
        <f aca="false">Cap_08!D15</f>
        <v>35</v>
      </c>
      <c r="E257" s="73" t="str">
        <f aca="false">Cap_08!E15</f>
        <v>OK</v>
      </c>
    </row>
    <row r="258" customFormat="false" ht="15" hidden="false" customHeight="true" outlineLevel="0" collapsed="false">
      <c r="A258" s="71" t="s">
        <v>37</v>
      </c>
      <c r="B258" s="71" t="s">
        <v>592</v>
      </c>
      <c r="C258" s="76" t="n">
        <f aca="false">Cap_08!B16</f>
        <v>0.5</v>
      </c>
      <c r="D258" s="76" t="n">
        <f aca="false">Cap_08!D16</f>
        <v>0.5</v>
      </c>
      <c r="E258" s="73" t="str">
        <f aca="false">Cap_08!E16</f>
        <v>OK</v>
      </c>
    </row>
    <row r="259" customFormat="false" ht="15" hidden="false" customHeight="true" outlineLevel="0" collapsed="false">
      <c r="A259" s="71" t="s">
        <v>37</v>
      </c>
      <c r="B259" s="71" t="s">
        <v>595</v>
      </c>
      <c r="C259" s="72" t="n">
        <f aca="false">Cap_08!B19</f>
        <v>45</v>
      </c>
      <c r="D259" s="72" t="n">
        <f aca="false">Cap_08!D19</f>
        <v>45</v>
      </c>
      <c r="E259" s="73" t="str">
        <f aca="false">Cap_08!E19</f>
        <v>OK</v>
      </c>
    </row>
    <row r="260" customFormat="false" ht="15" hidden="false" customHeight="true" outlineLevel="0" collapsed="false">
      <c r="A260" s="71" t="s">
        <v>37</v>
      </c>
      <c r="B260" s="71" t="s">
        <v>596</v>
      </c>
      <c r="C260" s="76" t="n">
        <f aca="false">Cap_08!B20</f>
        <v>0.3</v>
      </c>
      <c r="D260" s="76" t="n">
        <f aca="false">Cap_08!D20</f>
        <v>0.3</v>
      </c>
      <c r="E260" s="73" t="str">
        <f aca="false">Cap_08!E20</f>
        <v>OK</v>
      </c>
    </row>
    <row r="261" customFormat="false" ht="15" hidden="false" customHeight="true" outlineLevel="0" collapsed="false">
      <c r="A261" s="71" t="s">
        <v>37</v>
      </c>
      <c r="B261" s="71" t="s">
        <v>167</v>
      </c>
      <c r="C261" s="72" t="n">
        <f aca="false">Cap_08!B29</f>
        <v>200000</v>
      </c>
      <c r="D261" s="72" t="n">
        <f aca="false">Cap_08!D29</f>
        <v>200000</v>
      </c>
      <c r="E261" s="73" t="str">
        <f aca="false">Cap_08!E29</f>
        <v>OK</v>
      </c>
    </row>
    <row r="262" customFormat="false" ht="15" hidden="false" customHeight="true" outlineLevel="0" collapsed="false">
      <c r="A262" s="71" t="s">
        <v>37</v>
      </c>
      <c r="B262" s="71" t="s">
        <v>602</v>
      </c>
      <c r="C262" s="72" t="n">
        <f aca="false">Cap_08!B30</f>
        <v>130000</v>
      </c>
      <c r="D262" s="72" t="n">
        <f aca="false">Cap_08!D30</f>
        <v>130000</v>
      </c>
      <c r="E262" s="73" t="str">
        <f aca="false">Cap_08!E30</f>
        <v>OK</v>
      </c>
    </row>
    <row r="263" customFormat="false" ht="15" hidden="false" customHeight="true" outlineLevel="0" collapsed="false">
      <c r="A263" s="71" t="s">
        <v>37</v>
      </c>
      <c r="B263" s="71" t="s">
        <v>160</v>
      </c>
      <c r="C263" s="72" t="n">
        <f aca="false">Cap_08!B31</f>
        <v>40000</v>
      </c>
      <c r="D263" s="72" t="n">
        <f aca="false">Cap_08!D31</f>
        <v>40000</v>
      </c>
      <c r="E263" s="73" t="str">
        <f aca="false">Cap_08!E31</f>
        <v>OK</v>
      </c>
    </row>
    <row r="264" customFormat="false" ht="15" hidden="false" customHeight="true" outlineLevel="0" collapsed="false">
      <c r="A264" s="71" t="s">
        <v>37</v>
      </c>
      <c r="B264" s="71" t="s">
        <v>608</v>
      </c>
      <c r="C264" s="72" t="n">
        <f aca="false">Cap_08!B40</f>
        <v>105000</v>
      </c>
      <c r="D264" s="72" t="n">
        <f aca="false">Cap_08!D40</f>
        <v>105000</v>
      </c>
      <c r="E264" s="73" t="str">
        <f aca="false">Cap_08!E40</f>
        <v>OK</v>
      </c>
    </row>
    <row r="265" customFormat="false" ht="15" hidden="false" customHeight="true" outlineLevel="0" collapsed="false">
      <c r="A265" s="71" t="s">
        <v>37</v>
      </c>
      <c r="B265" s="71" t="s">
        <v>609</v>
      </c>
      <c r="C265" s="72" t="n">
        <f aca="false">Cap_08!B41</f>
        <v>73000</v>
      </c>
      <c r="D265" s="72" t="n">
        <f aca="false">Cap_08!D41</f>
        <v>73000</v>
      </c>
      <c r="E265" s="73" t="str">
        <f aca="false">Cap_08!E41</f>
        <v>OK</v>
      </c>
    </row>
    <row r="266" customFormat="false" ht="15" hidden="false" customHeight="true" outlineLevel="0" collapsed="false">
      <c r="A266" s="71" t="s">
        <v>37</v>
      </c>
      <c r="B266" s="71" t="s">
        <v>602</v>
      </c>
      <c r="C266" s="72" t="n">
        <f aca="false">Cap_08!B42</f>
        <v>55000</v>
      </c>
      <c r="D266" s="72" t="n">
        <f aca="false">Cap_08!D42</f>
        <v>55000</v>
      </c>
      <c r="E266" s="73" t="str">
        <f aca="false">Cap_08!E42</f>
        <v>OK</v>
      </c>
    </row>
    <row r="267" customFormat="false" ht="15" hidden="false" customHeight="true" outlineLevel="0" collapsed="false">
      <c r="A267" s="71" t="s">
        <v>37</v>
      </c>
      <c r="B267" s="71" t="s">
        <v>599</v>
      </c>
      <c r="C267" s="72" t="n">
        <f aca="false">Cap_08!B47</f>
        <v>3386000</v>
      </c>
      <c r="D267" s="72" t="n">
        <f aca="false">Cap_08!D47</f>
        <v>3386000</v>
      </c>
      <c r="E267" s="73" t="str">
        <f aca="false">Cap_08!E47</f>
        <v>OK</v>
      </c>
    </row>
    <row r="268" customFormat="false" ht="15" hidden="false" customHeight="true" outlineLevel="0" collapsed="false">
      <c r="A268" s="71" t="s">
        <v>37</v>
      </c>
      <c r="B268" s="71" t="s">
        <v>166</v>
      </c>
      <c r="C268" s="72" t="n">
        <f aca="false">Cap_08!B48</f>
        <v>2324000</v>
      </c>
      <c r="D268" s="72" t="n">
        <f aca="false">Cap_08!D48</f>
        <v>2324000</v>
      </c>
      <c r="E268" s="73" t="str">
        <f aca="false">Cap_08!E48</f>
        <v>OK</v>
      </c>
    </row>
    <row r="269" customFormat="false" ht="15" hidden="false" customHeight="true" outlineLevel="0" collapsed="false">
      <c r="A269" s="71" t="s">
        <v>37</v>
      </c>
      <c r="B269" s="71" t="s">
        <v>167</v>
      </c>
      <c r="C269" s="72" t="n">
        <f aca="false">Cap_08!B49</f>
        <v>1062000</v>
      </c>
      <c r="D269" s="72" t="n">
        <f aca="false">Cap_08!D49</f>
        <v>1062000</v>
      </c>
      <c r="E269" s="73" t="str">
        <f aca="false">Cap_08!E49</f>
        <v>OK</v>
      </c>
    </row>
    <row r="270" customFormat="false" ht="15" hidden="false" customHeight="true" outlineLevel="0" collapsed="false">
      <c r="A270" s="71" t="s">
        <v>37</v>
      </c>
      <c r="B270" s="71" t="s">
        <v>159</v>
      </c>
      <c r="C270" s="72" t="n">
        <f aca="false">Cap_08!B50</f>
        <v>820000</v>
      </c>
      <c r="D270" s="72" t="n">
        <f aca="false">Cap_08!D50</f>
        <v>820000</v>
      </c>
      <c r="E270" s="73" t="str">
        <f aca="false">Cap_08!E50</f>
        <v>OK</v>
      </c>
    </row>
    <row r="271" customFormat="false" ht="15" hidden="false" customHeight="true" outlineLevel="0" collapsed="false">
      <c r="A271" s="71" t="s">
        <v>37</v>
      </c>
      <c r="B271" s="71" t="s">
        <v>612</v>
      </c>
      <c r="C271" s="72" t="n">
        <f aca="false">Cap_08!B51</f>
        <v>84000</v>
      </c>
      <c r="D271" s="72" t="n">
        <f aca="false">Cap_08!D51</f>
        <v>84000</v>
      </c>
      <c r="E271" s="73" t="str">
        <f aca="false">Cap_08!E51</f>
        <v>OK</v>
      </c>
    </row>
    <row r="272" customFormat="false" ht="15" hidden="false" customHeight="true" outlineLevel="0" collapsed="false">
      <c r="A272" s="71" t="s">
        <v>37</v>
      </c>
      <c r="B272" s="71" t="s">
        <v>160</v>
      </c>
      <c r="C272" s="72" t="n">
        <f aca="false">Cap_08!B52</f>
        <v>242000</v>
      </c>
      <c r="D272" s="72" t="n">
        <f aca="false">Cap_08!D52</f>
        <v>242000</v>
      </c>
      <c r="E272" s="73" t="str">
        <f aca="false">Cap_08!E52</f>
        <v>OK</v>
      </c>
    </row>
    <row r="273" customFormat="false" ht="15" hidden="false" customHeight="true" outlineLevel="0" collapsed="false">
      <c r="A273" s="71" t="s">
        <v>37</v>
      </c>
      <c r="B273" s="71" t="s">
        <v>613</v>
      </c>
      <c r="C273" s="76" t="n">
        <f aca="false">Cap_08!B53</f>
        <v>0.313644418192558</v>
      </c>
      <c r="D273" s="76" t="n">
        <f aca="false">Cap_08!D53</f>
        <v>0.314</v>
      </c>
      <c r="E273" s="73" t="str">
        <f aca="false">Cap_08!E53</f>
        <v>OK</v>
      </c>
    </row>
    <row r="274" customFormat="false" ht="15" hidden="false" customHeight="true" outlineLevel="0" collapsed="false">
      <c r="A274" s="71" t="s">
        <v>37</v>
      </c>
      <c r="B274" s="71" t="s">
        <v>614</v>
      </c>
      <c r="C274" s="76" t="n">
        <f aca="false">Cap_08!B54</f>
        <v>0.686355581807442</v>
      </c>
      <c r="D274" s="76" t="n">
        <f aca="false">Cap_08!D54</f>
        <v>0.686</v>
      </c>
      <c r="E274" s="73" t="str">
        <f aca="false">Cap_08!E54</f>
        <v>OK</v>
      </c>
    </row>
    <row r="275" customFormat="false" ht="15" hidden="false" customHeight="true" outlineLevel="0" collapsed="false">
      <c r="A275" s="71" t="s">
        <v>37</v>
      </c>
      <c r="B275" s="71" t="s">
        <v>615</v>
      </c>
      <c r="C275" s="76" t="n">
        <f aca="false">Cap_08!B55</f>
        <v>0.242173656231542</v>
      </c>
      <c r="D275" s="76" t="n">
        <f aca="false">Cap_08!D55</f>
        <v>0.242</v>
      </c>
      <c r="E275" s="73" t="str">
        <f aca="false">Cap_08!E55</f>
        <v>OK</v>
      </c>
    </row>
    <row r="276" customFormat="false" ht="15" hidden="false" customHeight="true" outlineLevel="0" collapsed="false">
      <c r="A276" s="71" t="s">
        <v>37</v>
      </c>
      <c r="B276" s="71" t="s">
        <v>616</v>
      </c>
      <c r="C276" s="76" t="n">
        <f aca="false">Cap_08!B56</f>
        <v>0.0714707619610159</v>
      </c>
      <c r="D276" s="76" t="n">
        <f aca="false">Cap_08!D56</f>
        <v>0.071</v>
      </c>
      <c r="E276" s="73" t="str">
        <f aca="false">Cap_08!E56</f>
        <v>OK</v>
      </c>
    </row>
    <row r="277" customFormat="false" ht="15" hidden="false" customHeight="true" outlineLevel="0" collapsed="false">
      <c r="A277" s="71" t="s">
        <v>37</v>
      </c>
      <c r="B277" s="71" t="s">
        <v>617</v>
      </c>
      <c r="C277" s="76" t="n">
        <f aca="false">Cap_08!B57</f>
        <v>0.999</v>
      </c>
      <c r="D277" s="76" t="n">
        <f aca="false">Cap_08!D57</f>
        <v>0.999</v>
      </c>
      <c r="E277" s="73" t="str">
        <f aca="false">Cap_08!E57</f>
        <v>OK</v>
      </c>
    </row>
    <row r="278" customFormat="false" ht="15" hidden="false" customHeight="true" outlineLevel="0" collapsed="false">
      <c r="A278" s="71" t="s">
        <v>37</v>
      </c>
      <c r="B278" s="71" t="s">
        <v>148</v>
      </c>
      <c r="C278" s="72" t="n">
        <f aca="false">Cap_08!B62</f>
        <v>1440000</v>
      </c>
      <c r="D278" s="72" t="n">
        <f aca="false">Cap_08!D62</f>
        <v>1440000</v>
      </c>
      <c r="E278" s="73" t="str">
        <f aca="false">Cap_08!E62</f>
        <v>OK</v>
      </c>
    </row>
    <row r="279" customFormat="false" ht="15" hidden="false" customHeight="true" outlineLevel="0" collapsed="false">
      <c r="A279" s="71" t="s">
        <v>37</v>
      </c>
      <c r="B279" s="71" t="s">
        <v>150</v>
      </c>
      <c r="C279" s="72" t="n">
        <f aca="false">Cap_08!B63</f>
        <v>1368000</v>
      </c>
      <c r="D279" s="72" t="n">
        <f aca="false">Cap_08!D63</f>
        <v>1368000</v>
      </c>
      <c r="E279" s="73" t="str">
        <f aca="false">Cap_08!E63</f>
        <v>OK</v>
      </c>
    </row>
    <row r="280" customFormat="false" ht="15" hidden="false" customHeight="true" outlineLevel="0" collapsed="false">
      <c r="A280" s="71" t="s">
        <v>37</v>
      </c>
      <c r="B280" s="71" t="s">
        <v>151</v>
      </c>
      <c r="C280" s="72" t="n">
        <f aca="false">Cap_08!B64</f>
        <v>578000</v>
      </c>
      <c r="D280" s="72" t="n">
        <f aca="false">Cap_08!D64</f>
        <v>578000</v>
      </c>
      <c r="E280" s="73" t="str">
        <f aca="false">Cap_08!E64</f>
        <v>OK</v>
      </c>
    </row>
    <row r="281" customFormat="false" ht="15" hidden="false" customHeight="true" outlineLevel="0" collapsed="false">
      <c r="A281" s="71" t="s">
        <v>37</v>
      </c>
      <c r="B281" s="71" t="s">
        <v>620</v>
      </c>
      <c r="C281" s="72" t="n">
        <f aca="false">Cap_08!B65</f>
        <v>936000</v>
      </c>
      <c r="D281" s="72" t="n">
        <f aca="false">Cap_08!D65</f>
        <v>936000</v>
      </c>
      <c r="E281" s="73" t="str">
        <f aca="false">Cap_08!E65</f>
        <v>OK</v>
      </c>
    </row>
    <row r="282" customFormat="false" ht="15" hidden="false" customHeight="true" outlineLevel="0" collapsed="false">
      <c r="A282" s="71" t="s">
        <v>37</v>
      </c>
      <c r="B282" s="71" t="s">
        <v>621</v>
      </c>
      <c r="C282" s="72" t="n">
        <f aca="false">Cap_08!B66</f>
        <v>912000</v>
      </c>
      <c r="D282" s="72" t="n">
        <f aca="false">Cap_08!D66</f>
        <v>912000</v>
      </c>
      <c r="E282" s="73" t="str">
        <f aca="false">Cap_08!E66</f>
        <v>OK</v>
      </c>
    </row>
    <row r="283" customFormat="false" ht="15" hidden="false" customHeight="true" outlineLevel="0" collapsed="false">
      <c r="A283" s="71" t="s">
        <v>37</v>
      </c>
      <c r="B283" s="71" t="s">
        <v>622</v>
      </c>
      <c r="C283" s="72" t="n">
        <f aca="false">Cap_08!B67</f>
        <v>476000</v>
      </c>
      <c r="D283" s="72" t="n">
        <f aca="false">Cap_08!D67</f>
        <v>476000</v>
      </c>
      <c r="E283" s="73" t="str">
        <f aca="false">Cap_08!E67</f>
        <v>OK</v>
      </c>
    </row>
    <row r="284" customFormat="false" ht="15" hidden="false" customHeight="true" outlineLevel="0" collapsed="false">
      <c r="A284" s="71" t="s">
        <v>37</v>
      </c>
      <c r="B284" s="71" t="s">
        <v>153</v>
      </c>
      <c r="C284" s="72" t="n">
        <f aca="false">Cap_08!B68</f>
        <v>2324000</v>
      </c>
      <c r="D284" s="72" t="n">
        <f aca="false">Cap_08!D68</f>
        <v>2324000</v>
      </c>
      <c r="E284" s="73" t="str">
        <f aca="false">Cap_08!E68</f>
        <v>OK</v>
      </c>
    </row>
    <row r="285" customFormat="false" ht="15" hidden="false" customHeight="true" outlineLevel="0" collapsed="false">
      <c r="A285" s="71" t="s">
        <v>37</v>
      </c>
      <c r="B285" s="71" t="s">
        <v>623</v>
      </c>
      <c r="C285" s="72" t="n">
        <f aca="false">Cap_08!B69</f>
        <v>504000</v>
      </c>
      <c r="D285" s="72" t="n">
        <f aca="false">Cap_08!D69</f>
        <v>504000</v>
      </c>
      <c r="E285" s="73" t="str">
        <f aca="false">Cap_08!E69</f>
        <v>OK</v>
      </c>
    </row>
    <row r="286" customFormat="false" ht="15" hidden="false" customHeight="true" outlineLevel="0" collapsed="false">
      <c r="A286" s="71" t="s">
        <v>37</v>
      </c>
      <c r="B286" s="71" t="s">
        <v>624</v>
      </c>
      <c r="C286" s="72" t="n">
        <f aca="false">Cap_08!B70</f>
        <v>456000</v>
      </c>
      <c r="D286" s="72" t="n">
        <f aca="false">Cap_08!D70</f>
        <v>456000</v>
      </c>
      <c r="E286" s="73" t="str">
        <f aca="false">Cap_08!E70</f>
        <v>OK</v>
      </c>
    </row>
    <row r="287" customFormat="false" ht="15" hidden="false" customHeight="true" outlineLevel="0" collapsed="false">
      <c r="A287" s="71" t="s">
        <v>37</v>
      </c>
      <c r="B287" s="71" t="s">
        <v>625</v>
      </c>
      <c r="C287" s="72" t="n">
        <f aca="false">Cap_08!B71</f>
        <v>102000</v>
      </c>
      <c r="D287" s="72" t="n">
        <f aca="false">Cap_08!D71</f>
        <v>102000</v>
      </c>
      <c r="E287" s="73" t="str">
        <f aca="false">Cap_08!E71</f>
        <v>OK</v>
      </c>
    </row>
    <row r="288" customFormat="false" ht="15" hidden="false" customHeight="true" outlineLevel="0" collapsed="false">
      <c r="A288" s="71" t="s">
        <v>37</v>
      </c>
      <c r="B288" s="71" t="s">
        <v>626</v>
      </c>
      <c r="C288" s="72" t="n">
        <f aca="false">Cap_08!B72</f>
        <v>1062000</v>
      </c>
      <c r="D288" s="72" t="n">
        <f aca="false">Cap_08!D72</f>
        <v>1062000</v>
      </c>
      <c r="E288" s="73" t="str">
        <f aca="false">Cap_08!E72</f>
        <v>OK</v>
      </c>
    </row>
    <row r="289" customFormat="false" ht="15" hidden="false" customHeight="true" outlineLevel="0" collapsed="false">
      <c r="A289" s="71" t="s">
        <v>37</v>
      </c>
      <c r="B289" s="71" t="s">
        <v>627</v>
      </c>
      <c r="C289" s="76" t="n">
        <f aca="false">Cap_08!B73</f>
        <v>0.35</v>
      </c>
      <c r="D289" s="76" t="n">
        <f aca="false">Cap_08!D73</f>
        <v>0.35</v>
      </c>
      <c r="E289" s="73" t="str">
        <f aca="false">Cap_08!E73</f>
        <v>OK</v>
      </c>
    </row>
    <row r="290" customFormat="false" ht="15" hidden="false" customHeight="true" outlineLevel="0" collapsed="false">
      <c r="A290" s="71" t="s">
        <v>37</v>
      </c>
      <c r="B290" s="71" t="s">
        <v>628</v>
      </c>
      <c r="C290" s="76" t="n">
        <f aca="false">Cap_08!B74</f>
        <v>0.333333333333333</v>
      </c>
      <c r="D290" s="76" t="n">
        <f aca="false">Cap_08!D74</f>
        <v>0.333</v>
      </c>
      <c r="E290" s="73" t="str">
        <f aca="false">Cap_08!E74</f>
        <v>OK</v>
      </c>
    </row>
    <row r="291" customFormat="false" ht="15" hidden="false" customHeight="true" outlineLevel="0" collapsed="false">
      <c r="A291" s="71" t="s">
        <v>37</v>
      </c>
      <c r="B291" s="71" t="s">
        <v>629</v>
      </c>
      <c r="C291" s="76" t="n">
        <f aca="false">Cap_08!B75</f>
        <v>0.176470588235294</v>
      </c>
      <c r="D291" s="76" t="n">
        <f aca="false">Cap_08!D75</f>
        <v>0.176</v>
      </c>
      <c r="E291" s="73" t="str">
        <f aca="false">Cap_08!E75</f>
        <v>OK</v>
      </c>
    </row>
    <row r="292" customFormat="false" ht="15" hidden="false" customHeight="true" outlineLevel="0" collapsed="false">
      <c r="A292" s="71" t="s">
        <v>37</v>
      </c>
      <c r="B292" s="71" t="s">
        <v>630</v>
      </c>
      <c r="C292" s="76" t="n">
        <f aca="false">Cap_08!B76</f>
        <v>0.313644418192558</v>
      </c>
      <c r="D292" s="76" t="n">
        <f aca="false">Cap_08!D76</f>
        <v>0.314</v>
      </c>
      <c r="E292" s="73" t="str">
        <f aca="false">Cap_08!E76</f>
        <v>OK</v>
      </c>
    </row>
    <row r="293" customFormat="false" ht="15" hidden="false" customHeight="true" outlineLevel="0" collapsed="false">
      <c r="A293" s="71" t="s">
        <v>37</v>
      </c>
      <c r="B293" s="71" t="s">
        <v>631</v>
      </c>
      <c r="C293" s="72" t="n">
        <f aca="false">Cap_08!B77</f>
        <v>63</v>
      </c>
      <c r="D293" s="72" t="n">
        <f aca="false">Cap_08!D77</f>
        <v>63</v>
      </c>
      <c r="E293" s="73" t="str">
        <f aca="false">Cap_08!E77</f>
        <v>OK</v>
      </c>
    </row>
    <row r="294" customFormat="false" ht="15" hidden="false" customHeight="true" outlineLevel="0" collapsed="false">
      <c r="A294" s="71" t="s">
        <v>37</v>
      </c>
      <c r="B294" s="71" t="s">
        <v>632</v>
      </c>
      <c r="C294" s="72" t="n">
        <f aca="false">Cap_08!B78</f>
        <v>38</v>
      </c>
      <c r="D294" s="72" t="n">
        <f aca="false">Cap_08!D78</f>
        <v>38</v>
      </c>
      <c r="E294" s="73" t="str">
        <f aca="false">Cap_08!E78</f>
        <v>OK</v>
      </c>
    </row>
    <row r="295" customFormat="false" ht="15" hidden="false" customHeight="true" outlineLevel="0" collapsed="false">
      <c r="A295" s="71" t="s">
        <v>37</v>
      </c>
      <c r="B295" s="71" t="s">
        <v>633</v>
      </c>
      <c r="C295" s="72" t="n">
        <f aca="false">Cap_08!B79</f>
        <v>51</v>
      </c>
      <c r="D295" s="72" t="n">
        <f aca="false">Cap_08!D79</f>
        <v>51</v>
      </c>
      <c r="E295" s="73" t="str">
        <f aca="false">Cap_08!E79</f>
        <v>OK</v>
      </c>
    </row>
    <row r="296" customFormat="false" ht="15" hidden="false" customHeight="true" outlineLevel="0" collapsed="false">
      <c r="A296" s="71" t="s">
        <v>37</v>
      </c>
      <c r="B296" s="71" t="s">
        <v>634</v>
      </c>
      <c r="C296" s="71" t="str">
        <f aca="false">Cap_08!B80</f>
        <v>Linea C</v>
      </c>
      <c r="D296" s="71" t="str">
        <f aca="false">Cap_08!D80</f>
        <v>Linea C</v>
      </c>
      <c r="E296" s="73" t="str">
        <f aca="false">Cap_08!E80</f>
        <v>OK</v>
      </c>
    </row>
    <row r="297" customFormat="false" ht="15" hidden="false" customHeight="true" outlineLevel="0" collapsed="false">
      <c r="A297" s="71" t="s">
        <v>37</v>
      </c>
      <c r="B297" s="71" t="s">
        <v>636</v>
      </c>
      <c r="C297" s="71" t="str">
        <f aca="false">Cap_08!B81</f>
        <v>Linea B</v>
      </c>
      <c r="D297" s="71" t="str">
        <f aca="false">Cap_08!D81</f>
        <v>Linea B</v>
      </c>
      <c r="E297" s="73" t="str">
        <f aca="false">Cap_08!E81</f>
        <v>OK</v>
      </c>
    </row>
    <row r="298" customFormat="false" ht="15" hidden="false" customHeight="true" outlineLevel="0" collapsed="false">
      <c r="A298" s="71" t="s">
        <v>37</v>
      </c>
      <c r="B298" s="71" t="s">
        <v>642</v>
      </c>
      <c r="C298" s="76" t="n">
        <f aca="false">Cap_08!B88</f>
        <v>0.376229508196721</v>
      </c>
      <c r="D298" s="76" t="n">
        <f aca="false">Cap_08!D88</f>
        <v>0.376</v>
      </c>
      <c r="E298" s="73" t="str">
        <f aca="false">Cap_08!E88</f>
        <v>OK</v>
      </c>
    </row>
    <row r="299" customFormat="false" ht="15" hidden="false" customHeight="true" outlineLevel="0" collapsed="false">
      <c r="A299" s="71" t="s">
        <v>37</v>
      </c>
      <c r="B299" s="71" t="s">
        <v>643</v>
      </c>
      <c r="C299" s="76" t="n">
        <f aca="false">Cap_08!B89</f>
        <v>0.278393351800554</v>
      </c>
      <c r="D299" s="76" t="n">
        <f aca="false">Cap_08!D89</f>
        <v>0.278</v>
      </c>
      <c r="E299" s="73" t="str">
        <f aca="false">Cap_08!E89</f>
        <v>OK</v>
      </c>
    </row>
    <row r="300" customFormat="false" ht="15" hidden="false" customHeight="true" outlineLevel="0" collapsed="false">
      <c r="A300" s="71" t="s">
        <v>37</v>
      </c>
      <c r="B300" s="71" t="s">
        <v>644</v>
      </c>
      <c r="C300" s="72" t="n">
        <f aca="false">Cap_08!B90</f>
        <v>1062000</v>
      </c>
      <c r="D300" s="72" t="n">
        <f aca="false">Cap_08!D90</f>
        <v>1062000</v>
      </c>
      <c r="E300" s="73" t="str">
        <f aca="false">Cap_08!E90</f>
        <v>OK</v>
      </c>
    </row>
    <row r="301" customFormat="false" ht="15" hidden="false" customHeight="true" outlineLevel="0" collapsed="false">
      <c r="A301" s="71" t="s">
        <v>37</v>
      </c>
      <c r="B301" s="71" t="s">
        <v>645</v>
      </c>
      <c r="C301" s="72" t="n">
        <f aca="false">Cap_08!B91</f>
        <v>0</v>
      </c>
      <c r="D301" s="72" t="n">
        <f aca="false">Cap_08!D91</f>
        <v>0</v>
      </c>
      <c r="E301" s="73" t="str">
        <f aca="false">Cap_08!E91</f>
        <v>OK</v>
      </c>
    </row>
    <row r="302" customFormat="false" ht="15" hidden="false" customHeight="true" outlineLevel="0" collapsed="false">
      <c r="A302" s="71" t="s">
        <v>37</v>
      </c>
      <c r="B302" s="71" t="s">
        <v>646</v>
      </c>
      <c r="C302" s="72" t="n">
        <f aca="false">Cap_08!B92</f>
        <v>242000</v>
      </c>
      <c r="D302" s="72" t="n">
        <f aca="false">Cap_08!D92</f>
        <v>242000</v>
      </c>
      <c r="E302" s="73" t="str">
        <f aca="false">Cap_08!E92</f>
        <v>OK</v>
      </c>
    </row>
    <row r="303" customFormat="false" ht="15" hidden="false" customHeight="true" outlineLevel="0" collapsed="false">
      <c r="A303" s="71" t="s">
        <v>37</v>
      </c>
      <c r="B303" s="71" t="s">
        <v>654</v>
      </c>
      <c r="C303" s="76" t="n">
        <f aca="false">Cap_08!B102</f>
        <v>0.363287671232877</v>
      </c>
      <c r="D303" s="76" t="n">
        <f aca="false">Cap_08!D102</f>
        <v>0.363</v>
      </c>
      <c r="E303" s="73" t="str">
        <f aca="false">Cap_08!E102</f>
        <v>OK</v>
      </c>
    </row>
    <row r="304" customFormat="false" ht="15" hidden="false" customHeight="true" outlineLevel="0" collapsed="false">
      <c r="A304" s="71" t="s">
        <v>40</v>
      </c>
      <c r="B304" s="71" t="s">
        <v>661</v>
      </c>
      <c r="C304" s="72" t="n">
        <f aca="false">Cap_09!B12</f>
        <v>40</v>
      </c>
      <c r="D304" s="72" t="n">
        <f aca="false">Cap_09!D12</f>
        <v>40</v>
      </c>
      <c r="E304" s="73" t="str">
        <f aca="false">Cap_09!E12</f>
        <v>OK</v>
      </c>
    </row>
    <row r="305" customFormat="false" ht="15" hidden="false" customHeight="true" outlineLevel="0" collapsed="false">
      <c r="A305" s="71" t="s">
        <v>40</v>
      </c>
      <c r="B305" s="71" t="s">
        <v>662</v>
      </c>
      <c r="C305" s="72" t="n">
        <f aca="false">Cap_09!B13</f>
        <v>5000</v>
      </c>
      <c r="D305" s="72" t="n">
        <f aca="false">Cap_09!D13</f>
        <v>5000</v>
      </c>
      <c r="E305" s="73" t="str">
        <f aca="false">Cap_09!E13</f>
        <v>OK</v>
      </c>
    </row>
    <row r="306" customFormat="false" ht="15" hidden="false" customHeight="true" outlineLevel="0" collapsed="false">
      <c r="A306" s="71" t="s">
        <v>40</v>
      </c>
      <c r="B306" s="71" t="s">
        <v>663</v>
      </c>
      <c r="C306" s="72" t="n">
        <f aca="false">Cap_09!B14</f>
        <v>500000</v>
      </c>
      <c r="D306" s="72" t="n">
        <f aca="false">Cap_09!D14</f>
        <v>500000</v>
      </c>
      <c r="E306" s="73" t="str">
        <f aca="false">Cap_09!E14</f>
        <v>OK</v>
      </c>
    </row>
    <row r="307" customFormat="false" ht="15" hidden="false" customHeight="true" outlineLevel="0" collapsed="false">
      <c r="A307" s="71" t="s">
        <v>40</v>
      </c>
      <c r="B307" s="71" t="s">
        <v>664</v>
      </c>
      <c r="C307" s="72" t="n">
        <f aca="false">Cap_09!B15</f>
        <v>300000</v>
      </c>
      <c r="D307" s="72" t="n">
        <f aca="false">Cap_09!D15</f>
        <v>300000</v>
      </c>
      <c r="E307" s="73" t="str">
        <f aca="false">Cap_09!E15</f>
        <v>OK</v>
      </c>
    </row>
    <row r="308" customFormat="false" ht="15" hidden="false" customHeight="true" outlineLevel="0" collapsed="false">
      <c r="A308" s="71" t="s">
        <v>40</v>
      </c>
      <c r="B308" s="71" t="s">
        <v>665</v>
      </c>
      <c r="C308" s="72" t="n">
        <f aca="false">Cap_09!B16</f>
        <v>200000</v>
      </c>
      <c r="D308" s="72" t="n">
        <f aca="false">Cap_09!D16</f>
        <v>200000</v>
      </c>
      <c r="E308" s="73" t="str">
        <f aca="false">Cap_09!E16</f>
        <v>OK</v>
      </c>
    </row>
    <row r="309" customFormat="false" ht="15" hidden="false" customHeight="true" outlineLevel="0" collapsed="false">
      <c r="A309" s="71" t="s">
        <v>40</v>
      </c>
      <c r="B309" s="71" t="s">
        <v>666</v>
      </c>
      <c r="C309" s="72" t="n">
        <f aca="false">Cap_09!B17</f>
        <v>0</v>
      </c>
      <c r="D309" s="72" t="n">
        <f aca="false">Cap_09!D17</f>
        <v>0</v>
      </c>
      <c r="E309" s="73" t="str">
        <f aca="false">Cap_09!E17</f>
        <v>OK</v>
      </c>
    </row>
    <row r="310" customFormat="false" ht="15" hidden="false" customHeight="true" outlineLevel="0" collapsed="false">
      <c r="A310" s="71" t="s">
        <v>40</v>
      </c>
      <c r="B310" s="71" t="s">
        <v>670</v>
      </c>
      <c r="C310" s="78" t="n">
        <f aca="false">Cap_09!B23</f>
        <v>5714.28571428572</v>
      </c>
      <c r="D310" s="78" t="n">
        <f aca="false">Cap_09!D23</f>
        <v>5714.3</v>
      </c>
      <c r="E310" s="73" t="str">
        <f aca="false">Cap_09!E23</f>
        <v>OK</v>
      </c>
    </row>
    <row r="311" customFormat="false" ht="15" hidden="false" customHeight="true" outlineLevel="0" collapsed="false">
      <c r="A311" s="71" t="s">
        <v>40</v>
      </c>
      <c r="B311" s="71" t="s">
        <v>671</v>
      </c>
      <c r="C311" s="72" t="n">
        <f aca="false">Cap_09!B24</f>
        <v>5714</v>
      </c>
      <c r="D311" s="72" t="n">
        <f aca="false">Cap_09!D24</f>
        <v>5714</v>
      </c>
      <c r="E311" s="73" t="str">
        <f aca="false">Cap_09!E24</f>
        <v>OK</v>
      </c>
    </row>
    <row r="312" customFormat="false" ht="15" hidden="false" customHeight="true" outlineLevel="0" collapsed="false">
      <c r="A312" s="71" t="s">
        <v>40</v>
      </c>
      <c r="B312" s="71" t="s">
        <v>672</v>
      </c>
      <c r="C312" s="72" t="n">
        <f aca="false">Cap_09!B25</f>
        <v>199990</v>
      </c>
      <c r="D312" s="72" t="n">
        <f aca="false">Cap_09!D25</f>
        <v>199990</v>
      </c>
      <c r="E312" s="73" t="str">
        <f aca="false">Cap_09!E25</f>
        <v>OK</v>
      </c>
    </row>
    <row r="313" customFormat="false" ht="15" hidden="false" customHeight="true" outlineLevel="0" collapsed="false">
      <c r="A313" s="71" t="s">
        <v>40</v>
      </c>
      <c r="B313" s="71" t="s">
        <v>673</v>
      </c>
      <c r="C313" s="72" t="n">
        <f aca="false">Cap_09!B26</f>
        <v>-10</v>
      </c>
      <c r="D313" s="72" t="n">
        <f aca="false">Cap_09!D26</f>
        <v>-10</v>
      </c>
      <c r="E313" s="73" t="str">
        <f aca="false">Cap_09!E26</f>
        <v>OK</v>
      </c>
    </row>
    <row r="314" customFormat="false" ht="15" hidden="false" customHeight="true" outlineLevel="0" collapsed="false">
      <c r="A314" s="71" t="s">
        <v>40</v>
      </c>
      <c r="B314" s="71" t="s">
        <v>674</v>
      </c>
      <c r="C314" s="72" t="n">
        <f aca="false">Cap_09!B27</f>
        <v>5715</v>
      </c>
      <c r="D314" s="72" t="n">
        <f aca="false">Cap_09!D27</f>
        <v>5715</v>
      </c>
      <c r="E314" s="73" t="str">
        <f aca="false">Cap_09!E27</f>
        <v>OK</v>
      </c>
    </row>
    <row r="315" customFormat="false" ht="15" hidden="false" customHeight="true" outlineLevel="0" collapsed="false">
      <c r="A315" s="71" t="s">
        <v>40</v>
      </c>
      <c r="B315" s="71" t="s">
        <v>675</v>
      </c>
      <c r="C315" s="72" t="n">
        <f aca="false">Cap_09!B28</f>
        <v>25</v>
      </c>
      <c r="D315" s="72" t="n">
        <f aca="false">Cap_09!D28</f>
        <v>25</v>
      </c>
      <c r="E315" s="73" t="str">
        <f aca="false">Cap_09!E28</f>
        <v>OK</v>
      </c>
    </row>
    <row r="316" customFormat="false" ht="15" hidden="false" customHeight="true" outlineLevel="0" collapsed="false">
      <c r="A316" s="71" t="s">
        <v>40</v>
      </c>
      <c r="B316" s="71" t="s">
        <v>678</v>
      </c>
      <c r="C316" s="76" t="n">
        <f aca="false">Cap_09!B33</f>
        <v>0.4</v>
      </c>
      <c r="D316" s="76" t="n">
        <f aca="false">Cap_09!D33</f>
        <v>0.4</v>
      </c>
      <c r="E316" s="73" t="str">
        <f aca="false">Cap_09!E33</f>
        <v>OK</v>
      </c>
    </row>
    <row r="317" customFormat="false" ht="15" hidden="false" customHeight="true" outlineLevel="0" collapsed="false">
      <c r="A317" s="71" t="s">
        <v>40</v>
      </c>
      <c r="B317" s="71" t="s">
        <v>679</v>
      </c>
      <c r="C317" s="72" t="n">
        <f aca="false">Cap_09!B34</f>
        <v>500000</v>
      </c>
      <c r="D317" s="72" t="n">
        <f aca="false">Cap_09!D34</f>
        <v>500000</v>
      </c>
      <c r="E317" s="73" t="str">
        <f aca="false">Cap_09!E34</f>
        <v>OK</v>
      </c>
    </row>
    <row r="318" customFormat="false" ht="15" hidden="false" customHeight="true" outlineLevel="0" collapsed="false">
      <c r="A318" s="71" t="s">
        <v>40</v>
      </c>
      <c r="B318" s="71" t="s">
        <v>683</v>
      </c>
      <c r="C318" s="72" t="n">
        <f aca="false">Cap_09!B40</f>
        <v>7000</v>
      </c>
      <c r="D318" s="72" t="n">
        <f aca="false">Cap_09!D40</f>
        <v>7000</v>
      </c>
      <c r="E318" s="73" t="str">
        <f aca="false">Cap_09!E40</f>
        <v>OK</v>
      </c>
    </row>
    <row r="319" customFormat="false" ht="15" hidden="false" customHeight="true" outlineLevel="0" collapsed="false">
      <c r="A319" s="71" t="s">
        <v>40</v>
      </c>
      <c r="B319" s="71" t="s">
        <v>686</v>
      </c>
      <c r="C319" s="72" t="n">
        <f aca="false">Cap_09!B44</f>
        <v>80000</v>
      </c>
      <c r="D319" s="72" t="n">
        <f aca="false">Cap_09!D44</f>
        <v>80000</v>
      </c>
      <c r="E319" s="73" t="str">
        <f aca="false">Cap_09!E44</f>
        <v>OK</v>
      </c>
    </row>
    <row r="320" customFormat="false" ht="15" hidden="false" customHeight="true" outlineLevel="0" collapsed="false">
      <c r="A320" s="71" t="s">
        <v>40</v>
      </c>
      <c r="B320" s="71" t="s">
        <v>687</v>
      </c>
      <c r="C320" s="72" t="n">
        <f aca="false">Cap_09!B45</f>
        <v>7000</v>
      </c>
      <c r="D320" s="72" t="n">
        <f aca="false">Cap_09!D45</f>
        <v>7000</v>
      </c>
      <c r="E320" s="73" t="str">
        <f aca="false">Cap_09!E45</f>
        <v>OK</v>
      </c>
    </row>
    <row r="321" customFormat="false" ht="15" hidden="false" customHeight="true" outlineLevel="0" collapsed="false">
      <c r="A321" s="71" t="s">
        <v>40</v>
      </c>
      <c r="B321" s="71" t="s">
        <v>688</v>
      </c>
      <c r="C321" s="72" t="n">
        <f aca="false">Cap_09!B51</f>
        <v>150000</v>
      </c>
      <c r="D321" s="72" t="n">
        <f aca="false">Cap_09!D51</f>
        <v>150000</v>
      </c>
      <c r="E321" s="73" t="str">
        <f aca="false">Cap_09!E51</f>
        <v>OK</v>
      </c>
    </row>
    <row r="322" customFormat="false" ht="15" hidden="false" customHeight="true" outlineLevel="0" collapsed="false">
      <c r="A322" s="71" t="s">
        <v>40</v>
      </c>
      <c r="B322" s="71" t="s">
        <v>691</v>
      </c>
      <c r="C322" s="76" t="n">
        <f aca="false">Cap_09!B52</f>
        <v>0.230769230769231</v>
      </c>
      <c r="D322" s="76" t="n">
        <f aca="false">Cap_09!D52</f>
        <v>0.231</v>
      </c>
      <c r="E322" s="73" t="str">
        <f aca="false">Cap_09!E52</f>
        <v>OK</v>
      </c>
    </row>
    <row r="323" customFormat="false" ht="15" hidden="false" customHeight="true" outlineLevel="0" collapsed="false">
      <c r="A323" s="71" t="s">
        <v>40</v>
      </c>
      <c r="B323" s="71" t="s">
        <v>696</v>
      </c>
      <c r="C323" s="72" t="n">
        <f aca="false">Cap_09!B59</f>
        <v>6</v>
      </c>
      <c r="D323" s="72" t="n">
        <f aca="false">Cap_09!D59</f>
        <v>6</v>
      </c>
      <c r="E323" s="73" t="str">
        <f aca="false">Cap_09!E59</f>
        <v>OK</v>
      </c>
    </row>
    <row r="324" customFormat="false" ht="15" hidden="false" customHeight="true" outlineLevel="0" collapsed="false">
      <c r="A324" s="71" t="s">
        <v>40</v>
      </c>
      <c r="B324" s="71" t="s">
        <v>697</v>
      </c>
      <c r="C324" s="72" t="n">
        <f aca="false">Cap_09!B60</f>
        <v>6500</v>
      </c>
      <c r="D324" s="72" t="n">
        <f aca="false">Cap_09!D60</f>
        <v>6500</v>
      </c>
      <c r="E324" s="73" t="str">
        <f aca="false">Cap_09!E60</f>
        <v>OK</v>
      </c>
    </row>
    <row r="325" customFormat="false" ht="15" hidden="false" customHeight="true" outlineLevel="0" collapsed="false">
      <c r="A325" s="71" t="s">
        <v>40</v>
      </c>
      <c r="B325" s="71" t="s">
        <v>698</v>
      </c>
      <c r="C325" s="72" t="n">
        <f aca="false">Cap_09!B61</f>
        <v>260000</v>
      </c>
      <c r="D325" s="72" t="n">
        <f aca="false">Cap_09!D61</f>
        <v>260000</v>
      </c>
      <c r="E325" s="73" t="str">
        <f aca="false">Cap_09!E61</f>
        <v>OK</v>
      </c>
    </row>
    <row r="326" customFormat="false" ht="15" hidden="false" customHeight="true" outlineLevel="0" collapsed="false">
      <c r="A326" s="71" t="s">
        <v>40</v>
      </c>
      <c r="B326" s="71" t="s">
        <v>699</v>
      </c>
      <c r="C326" s="72" t="n">
        <f aca="false">Cap_09!B62</f>
        <v>60000</v>
      </c>
      <c r="D326" s="72" t="n">
        <f aca="false">Cap_09!D62</f>
        <v>60000</v>
      </c>
      <c r="E326" s="73" t="str">
        <f aca="false">Cap_09!E62</f>
        <v>OK</v>
      </c>
    </row>
    <row r="327" customFormat="false" ht="15" hidden="false" customHeight="true" outlineLevel="0" collapsed="false">
      <c r="A327" s="71" t="s">
        <v>40</v>
      </c>
      <c r="B327" s="71" t="s">
        <v>700</v>
      </c>
      <c r="C327" s="75" t="n">
        <f aca="false">Cap_09!B63</f>
        <v>4.33333333333333</v>
      </c>
      <c r="D327" s="75" t="n">
        <f aca="false">Cap_09!D63</f>
        <v>4.33</v>
      </c>
      <c r="E327" s="73" t="str">
        <f aca="false">Cap_09!E63</f>
        <v>OK</v>
      </c>
    </row>
    <row r="328" customFormat="false" ht="15" hidden="false" customHeight="true" outlineLevel="0" collapsed="false">
      <c r="A328" s="71" t="s">
        <v>40</v>
      </c>
      <c r="B328" s="71" t="s">
        <v>701</v>
      </c>
      <c r="C328" s="75" t="n">
        <f aca="false">Cap_09!B64</f>
        <v>4.33333333333333</v>
      </c>
      <c r="D328" s="75" t="n">
        <f aca="false">Cap_09!D64</f>
        <v>4.33</v>
      </c>
      <c r="E328" s="73" t="str">
        <f aca="false">Cap_09!E64</f>
        <v>OK</v>
      </c>
    </row>
    <row r="329" customFormat="false" ht="15" hidden="false" customHeight="true" outlineLevel="0" collapsed="false">
      <c r="A329" s="71" t="s">
        <v>40</v>
      </c>
      <c r="B329" s="71" t="s">
        <v>709</v>
      </c>
      <c r="C329" s="72" t="n">
        <f aca="false">Cap_09!B73</f>
        <v>80</v>
      </c>
      <c r="D329" s="72" t="n">
        <f aca="false">Cap_09!D73</f>
        <v>80</v>
      </c>
      <c r="E329" s="73" t="str">
        <f aca="false">Cap_09!E73</f>
        <v>OK</v>
      </c>
    </row>
    <row r="330" customFormat="false" ht="15" hidden="false" customHeight="true" outlineLevel="0" collapsed="false">
      <c r="A330" s="71" t="s">
        <v>40</v>
      </c>
      <c r="B330" s="71" t="s">
        <v>711</v>
      </c>
      <c r="C330" s="72" t="n">
        <f aca="false">Cap_09!B74</f>
        <v>20</v>
      </c>
      <c r="D330" s="72" t="n">
        <f aca="false">Cap_09!D74</f>
        <v>20</v>
      </c>
      <c r="E330" s="73" t="str">
        <f aca="false">Cap_09!E74</f>
        <v>OK</v>
      </c>
    </row>
    <row r="331" customFormat="false" ht="15" hidden="false" customHeight="true" outlineLevel="0" collapsed="false">
      <c r="A331" s="71" t="s">
        <v>40</v>
      </c>
      <c r="B331" s="71" t="s">
        <v>712</v>
      </c>
      <c r="C331" s="72" t="n">
        <f aca="false">Cap_09!B75</f>
        <v>100</v>
      </c>
      <c r="D331" s="72" t="n">
        <f aca="false">Cap_09!D75</f>
        <v>100</v>
      </c>
      <c r="E331" s="73" t="str">
        <f aca="false">Cap_09!E75</f>
        <v>OK</v>
      </c>
    </row>
    <row r="332" customFormat="false" ht="15" hidden="false" customHeight="true" outlineLevel="0" collapsed="false">
      <c r="A332" s="71" t="s">
        <v>40</v>
      </c>
      <c r="B332" s="71" t="s">
        <v>713</v>
      </c>
      <c r="C332" s="72" t="n">
        <f aca="false">Cap_09!B77</f>
        <v>3000</v>
      </c>
      <c r="D332" s="72" t="n">
        <f aca="false">Cap_09!D77</f>
        <v>3000</v>
      </c>
      <c r="E332" s="73" t="str">
        <f aca="false">Cap_09!E77</f>
        <v>OK</v>
      </c>
    </row>
    <row r="333" customFormat="false" ht="15" hidden="false" customHeight="true" outlineLevel="0" collapsed="false">
      <c r="A333" s="71" t="s">
        <v>40</v>
      </c>
      <c r="B333" s="71" t="s">
        <v>715</v>
      </c>
      <c r="C333" s="72" t="n">
        <f aca="false">Cap_09!B78</f>
        <v>6000</v>
      </c>
      <c r="D333" s="72" t="n">
        <f aca="false">Cap_09!D78</f>
        <v>6000</v>
      </c>
      <c r="E333" s="73" t="str">
        <f aca="false">Cap_09!E78</f>
        <v>OK</v>
      </c>
    </row>
    <row r="334" customFormat="false" ht="15" hidden="false" customHeight="true" outlineLevel="0" collapsed="false">
      <c r="A334" s="71" t="s">
        <v>40</v>
      </c>
      <c r="B334" s="71" t="s">
        <v>716</v>
      </c>
      <c r="C334" s="72" t="n">
        <f aca="false">Cap_09!B79</f>
        <v>3000</v>
      </c>
      <c r="D334" s="72" t="n">
        <f aca="false">Cap_09!D79</f>
        <v>3000</v>
      </c>
      <c r="E334" s="73" t="str">
        <f aca="false">Cap_09!E79</f>
        <v>OK</v>
      </c>
    </row>
    <row r="335" customFormat="false" ht="15" hidden="false" customHeight="true" outlineLevel="0" collapsed="false">
      <c r="A335" s="71" t="s">
        <v>40</v>
      </c>
      <c r="B335" s="71" t="s">
        <v>722</v>
      </c>
      <c r="C335" s="72" t="n">
        <f aca="false">Cap_09!B87</f>
        <v>35</v>
      </c>
      <c r="D335" s="72" t="n">
        <f aca="false">Cap_09!D87</f>
        <v>35</v>
      </c>
      <c r="E335" s="73" t="str">
        <f aca="false">Cap_09!E87</f>
        <v>OK</v>
      </c>
    </row>
    <row r="336" customFormat="false" ht="15" hidden="false" customHeight="true" outlineLevel="0" collapsed="false">
      <c r="A336" s="71" t="s">
        <v>40</v>
      </c>
      <c r="B336" s="71" t="s">
        <v>723</v>
      </c>
      <c r="C336" s="72" t="n">
        <f aca="false">Cap_09!B88</f>
        <v>5715</v>
      </c>
      <c r="D336" s="72" t="n">
        <f aca="false">Cap_09!D88</f>
        <v>5715</v>
      </c>
      <c r="E336" s="73" t="str">
        <f aca="false">Cap_09!E88</f>
        <v>OK</v>
      </c>
    </row>
    <row r="337" customFormat="false" ht="15" hidden="false" customHeight="true" outlineLevel="0" collapsed="false">
      <c r="A337" s="71" t="s">
        <v>40</v>
      </c>
      <c r="B337" s="71" t="s">
        <v>724</v>
      </c>
      <c r="C337" s="72" t="n">
        <f aca="false">Cap_09!B89</f>
        <v>45</v>
      </c>
      <c r="D337" s="72" t="n">
        <f aca="false">Cap_09!D89</f>
        <v>45</v>
      </c>
      <c r="E337" s="73" t="str">
        <f aca="false">Cap_09!E89</f>
        <v>OK</v>
      </c>
    </row>
    <row r="338" customFormat="false" ht="15" hidden="false" customHeight="true" outlineLevel="0" collapsed="false">
      <c r="A338" s="71" t="s">
        <v>40</v>
      </c>
      <c r="B338" s="71" t="s">
        <v>725</v>
      </c>
      <c r="C338" s="78" t="n">
        <f aca="false">Cap_09!B90</f>
        <v>4444.44444444444</v>
      </c>
      <c r="D338" s="78" t="n">
        <f aca="false">Cap_09!D90</f>
        <v>4444.4</v>
      </c>
      <c r="E338" s="73" t="str">
        <f aca="false">Cap_09!E90</f>
        <v>OK</v>
      </c>
    </row>
    <row r="339" customFormat="false" ht="15" hidden="false" customHeight="true" outlineLevel="0" collapsed="false">
      <c r="A339" s="71" t="s">
        <v>40</v>
      </c>
      <c r="B339" s="71" t="s">
        <v>726</v>
      </c>
      <c r="C339" s="72" t="n">
        <f aca="false">Cap_09!B91</f>
        <v>4445</v>
      </c>
      <c r="D339" s="72" t="n">
        <f aca="false">Cap_09!D91</f>
        <v>4445</v>
      </c>
      <c r="E339" s="73" t="str">
        <f aca="false">Cap_09!E91</f>
        <v>OK</v>
      </c>
    </row>
    <row r="340" customFormat="false" ht="15" hidden="false" customHeight="true" outlineLevel="0" collapsed="false">
      <c r="A340" s="71" t="s">
        <v>40</v>
      </c>
      <c r="B340" s="71" t="s">
        <v>727</v>
      </c>
      <c r="C340" s="72" t="n">
        <f aca="false">Cap_09!B92</f>
        <v>5750</v>
      </c>
      <c r="D340" s="72" t="n">
        <f aca="false">Cap_09!D92</f>
        <v>5750</v>
      </c>
      <c r="E340" s="73" t="str">
        <f aca="false">Cap_09!E92</f>
        <v>OK</v>
      </c>
    </row>
    <row r="341" customFormat="false" ht="15" hidden="false" customHeight="true" outlineLevel="0" collapsed="false">
      <c r="A341" s="71" t="s">
        <v>40</v>
      </c>
      <c r="B341" s="71" t="s">
        <v>733</v>
      </c>
      <c r="C341" s="72" t="n">
        <f aca="false">Cap_09!B101</f>
        <v>45</v>
      </c>
      <c r="D341" s="72" t="n">
        <f aca="false">Cap_09!D101</f>
        <v>45</v>
      </c>
      <c r="E341" s="73" t="str">
        <f aca="false">Cap_09!E101</f>
        <v>OK</v>
      </c>
    </row>
    <row r="342" customFormat="false" ht="15" hidden="false" customHeight="true" outlineLevel="0" collapsed="false">
      <c r="A342" s="71" t="s">
        <v>40</v>
      </c>
      <c r="B342" s="71" t="s">
        <v>734</v>
      </c>
      <c r="C342" s="72" t="n">
        <f aca="false">Cap_09!B102</f>
        <v>4000</v>
      </c>
      <c r="D342" s="72" t="n">
        <f aca="false">Cap_09!D102</f>
        <v>4000</v>
      </c>
      <c r="E342" s="73" t="str">
        <f aca="false">Cap_09!E102</f>
        <v>OK</v>
      </c>
    </row>
    <row r="343" customFormat="false" ht="15" hidden="false" customHeight="true" outlineLevel="0" collapsed="false">
      <c r="A343" s="71" t="s">
        <v>40</v>
      </c>
      <c r="B343" s="71" t="s">
        <v>735</v>
      </c>
      <c r="C343" s="72" t="n">
        <f aca="false">Cap_09!B103</f>
        <v>45000</v>
      </c>
      <c r="D343" s="72" t="n">
        <f aca="false">Cap_09!D103</f>
        <v>45000</v>
      </c>
      <c r="E343" s="73" t="str">
        <f aca="false">Cap_09!E103</f>
        <v>OK</v>
      </c>
    </row>
    <row r="344" customFormat="false" ht="15" hidden="false" customHeight="true" outlineLevel="0" collapsed="false">
      <c r="A344" s="71" t="s">
        <v>40</v>
      </c>
      <c r="B344" s="71" t="s">
        <v>737</v>
      </c>
      <c r="C344" s="72" t="n">
        <f aca="false">Cap_09!B105</f>
        <v>40</v>
      </c>
      <c r="D344" s="72" t="n">
        <f aca="false">Cap_09!D105</f>
        <v>40</v>
      </c>
      <c r="E344" s="73" t="str">
        <f aca="false">Cap_09!E105</f>
        <v>OK</v>
      </c>
    </row>
    <row r="345" customFormat="false" ht="15" hidden="false" customHeight="true" outlineLevel="0" collapsed="false">
      <c r="A345" s="71" t="s">
        <v>40</v>
      </c>
      <c r="B345" s="71" t="s">
        <v>738</v>
      </c>
      <c r="C345" s="72" t="n">
        <f aca="false">Cap_09!B106</f>
        <v>4500</v>
      </c>
      <c r="D345" s="72" t="n">
        <f aca="false">Cap_09!D106</f>
        <v>4500</v>
      </c>
      <c r="E345" s="73" t="str">
        <f aca="false">Cap_09!E106</f>
        <v>OK</v>
      </c>
    </row>
    <row r="346" customFormat="false" ht="15" hidden="false" customHeight="true" outlineLevel="0" collapsed="false">
      <c r="A346" s="71" t="s">
        <v>40</v>
      </c>
      <c r="B346" s="71" t="s">
        <v>739</v>
      </c>
      <c r="C346" s="72" t="n">
        <f aca="false">Cap_09!B107</f>
        <v>20000</v>
      </c>
      <c r="D346" s="72" t="n">
        <f aca="false">Cap_09!D107</f>
        <v>20000</v>
      </c>
      <c r="E346" s="73" t="str">
        <f aca="false">Cap_09!E107</f>
        <v>OK</v>
      </c>
    </row>
    <row r="347" customFormat="false" ht="15" hidden="false" customHeight="true" outlineLevel="0" collapsed="false">
      <c r="A347" s="71" t="s">
        <v>40</v>
      </c>
      <c r="B347" s="71" t="s">
        <v>742</v>
      </c>
      <c r="C347" s="79" t="n">
        <f aca="false">Cap_09!B112</f>
        <v>0.313644418192558</v>
      </c>
      <c r="D347" s="79" t="n">
        <f aca="false">Cap_09!D112</f>
        <v>0.31364</v>
      </c>
      <c r="E347" s="73" t="str">
        <f aca="false">Cap_09!E112</f>
        <v>OK</v>
      </c>
    </row>
    <row r="348" customFormat="false" ht="15" hidden="false" customHeight="true" outlineLevel="0" collapsed="false">
      <c r="A348" s="71" t="s">
        <v>40</v>
      </c>
      <c r="B348" s="71" t="s">
        <v>679</v>
      </c>
      <c r="C348" s="72" t="n">
        <f aca="false">Cap_09!B113</f>
        <v>2346606.40301318</v>
      </c>
      <c r="D348" s="72" t="n">
        <f aca="false">Cap_09!D113</f>
        <v>2346606</v>
      </c>
      <c r="E348" s="73" t="str">
        <f aca="false">Cap_09!E113</f>
        <v>OK</v>
      </c>
    </row>
    <row r="349" customFormat="false" ht="15" hidden="false" customHeight="true" outlineLevel="0" collapsed="false">
      <c r="A349" s="71" t="s">
        <v>40</v>
      </c>
      <c r="B349" s="71" t="s">
        <v>743</v>
      </c>
      <c r="C349" s="72" t="n">
        <f aca="false">Cap_09!B114</f>
        <v>2962750</v>
      </c>
      <c r="D349" s="72" t="n">
        <f aca="false">Cap_09!D114</f>
        <v>2962750</v>
      </c>
      <c r="E349" s="73" t="str">
        <f aca="false">Cap_09!E114</f>
        <v>OK</v>
      </c>
    </row>
    <row r="350" customFormat="false" ht="15" hidden="false" customHeight="true" outlineLevel="0" collapsed="false">
      <c r="A350" s="71" t="s">
        <v>40</v>
      </c>
      <c r="B350" s="71" t="s">
        <v>744</v>
      </c>
      <c r="C350" s="71" t="str">
        <f aca="false">Cap_09!B115</f>
        <v>Sotto la soglia: calcolo coerente</v>
      </c>
      <c r="D350" s="71" t="str">
        <f aca="false">Cap_09!D115</f>
        <v>Sotto la soglia: calcolo coerente</v>
      </c>
      <c r="E350" s="73" t="str">
        <f aca="false">Cap_09!E115</f>
        <v>OK</v>
      </c>
    </row>
    <row r="351" customFormat="false" ht="15" hidden="false" customHeight="true" outlineLevel="0" collapsed="false">
      <c r="A351" s="71" t="s">
        <v>40</v>
      </c>
      <c r="B351" s="71" t="s">
        <v>706</v>
      </c>
      <c r="C351" s="72" t="n">
        <f aca="false">Cap_09!B120</f>
        <v>4</v>
      </c>
      <c r="D351" s="72" t="n">
        <f aca="false">Cap_09!D120</f>
        <v>4</v>
      </c>
      <c r="E351" s="73" t="str">
        <f aca="false">Cap_09!E120</f>
        <v>OK</v>
      </c>
    </row>
    <row r="352" customFormat="false" ht="15" hidden="false" customHeight="true" outlineLevel="0" collapsed="false">
      <c r="A352" s="71" t="s">
        <v>40</v>
      </c>
      <c r="B352" s="71" t="s">
        <v>708</v>
      </c>
      <c r="C352" s="72" t="n">
        <f aca="false">Cap_09!B121</f>
        <v>6</v>
      </c>
      <c r="D352" s="72" t="n">
        <f aca="false">Cap_09!D121</f>
        <v>6</v>
      </c>
      <c r="E352" s="73" t="str">
        <f aca="false">Cap_09!E121</f>
        <v>OK</v>
      </c>
    </row>
    <row r="353" customFormat="false" ht="15" hidden="false" customHeight="true" outlineLevel="0" collapsed="false">
      <c r="A353" s="71" t="s">
        <v>40</v>
      </c>
      <c r="B353" s="71" t="s">
        <v>748</v>
      </c>
      <c r="C353" s="72" t="n">
        <f aca="false">Cap_09!B122</f>
        <v>1</v>
      </c>
      <c r="D353" s="72" t="n">
        <f aca="false">Cap_09!D122</f>
        <v>1</v>
      </c>
      <c r="E353" s="73" t="str">
        <f aca="false">Cap_09!E122</f>
        <v>OK</v>
      </c>
    </row>
    <row r="354" customFormat="false" ht="15" hidden="false" customHeight="true" outlineLevel="0" collapsed="false">
      <c r="A354" s="71" t="s">
        <v>40</v>
      </c>
      <c r="B354" s="71" t="s">
        <v>704</v>
      </c>
      <c r="C354" s="72" t="n">
        <f aca="false">Cap_09!B123</f>
        <v>63</v>
      </c>
      <c r="D354" s="72" t="n">
        <f aca="false">Cap_09!D123</f>
        <v>63</v>
      </c>
      <c r="E354" s="73" t="str">
        <f aca="false">Cap_09!E123</f>
        <v>OK</v>
      </c>
    </row>
    <row r="355" customFormat="false" ht="15" hidden="false" customHeight="true" outlineLevel="0" collapsed="false">
      <c r="A355" s="71" t="s">
        <v>40</v>
      </c>
      <c r="B355" s="71" t="s">
        <v>705</v>
      </c>
      <c r="C355" s="72" t="n">
        <f aca="false">Cap_09!B124</f>
        <v>38</v>
      </c>
      <c r="D355" s="72" t="n">
        <f aca="false">Cap_09!D124</f>
        <v>38</v>
      </c>
      <c r="E355" s="73" t="str">
        <f aca="false">Cap_09!E124</f>
        <v>OK</v>
      </c>
    </row>
    <row r="356" customFormat="false" ht="15" hidden="false" customHeight="true" outlineLevel="0" collapsed="false">
      <c r="A356" s="71" t="s">
        <v>40</v>
      </c>
      <c r="B356" s="71" t="s">
        <v>749</v>
      </c>
      <c r="C356" s="72" t="n">
        <f aca="false">Cap_09!B125</f>
        <v>51</v>
      </c>
      <c r="D356" s="72" t="n">
        <f aca="false">Cap_09!D125</f>
        <v>51</v>
      </c>
      <c r="E356" s="73" t="str">
        <f aca="false">Cap_09!E125</f>
        <v>OK</v>
      </c>
    </row>
    <row r="357" customFormat="false" ht="15" hidden="false" customHeight="true" outlineLevel="0" collapsed="false">
      <c r="A357" s="71" t="s">
        <v>40</v>
      </c>
      <c r="B357" s="71" t="s">
        <v>712</v>
      </c>
      <c r="C357" s="72" t="n">
        <f aca="false">Cap_09!B126</f>
        <v>531</v>
      </c>
      <c r="D357" s="72" t="n">
        <f aca="false">Cap_09!D126</f>
        <v>531</v>
      </c>
      <c r="E357" s="73" t="str">
        <f aca="false">Cap_09!E126</f>
        <v>OK</v>
      </c>
    </row>
    <row r="358" customFormat="false" ht="15" hidden="false" customHeight="true" outlineLevel="0" collapsed="false">
      <c r="A358" s="71" t="s">
        <v>40</v>
      </c>
      <c r="B358" s="71" t="s">
        <v>750</v>
      </c>
      <c r="C358" s="72" t="n">
        <f aca="false">Cap_09!B127</f>
        <v>2000</v>
      </c>
      <c r="D358" s="72" t="n">
        <f aca="false">Cap_09!D127</f>
        <v>2000</v>
      </c>
      <c r="E358" s="73" t="str">
        <f aca="false">Cap_09!E127</f>
        <v>OK</v>
      </c>
    </row>
    <row r="359" customFormat="false" ht="15" hidden="false" customHeight="true" outlineLevel="0" collapsed="false">
      <c r="A359" s="71" t="s">
        <v>40</v>
      </c>
      <c r="B359" s="71" t="s">
        <v>751</v>
      </c>
      <c r="C359" s="72" t="n">
        <f aca="false">Cap_09!B128</f>
        <v>1062000</v>
      </c>
      <c r="D359" s="72" t="n">
        <f aca="false">Cap_09!D128</f>
        <v>1062000</v>
      </c>
      <c r="E359" s="73" t="str">
        <f aca="false">Cap_09!E128</f>
        <v>OK</v>
      </c>
    </row>
    <row r="360" customFormat="false" ht="15" hidden="false" customHeight="true" outlineLevel="0" collapsed="false">
      <c r="A360" s="71" t="s">
        <v>40</v>
      </c>
      <c r="B360" s="71" t="s">
        <v>752</v>
      </c>
      <c r="C360" s="75" t="n">
        <f aca="false">Cap_09!B129</f>
        <v>1386.06403013183</v>
      </c>
      <c r="D360" s="75" t="n">
        <f aca="false">Cap_09!D129</f>
        <v>1386.06</v>
      </c>
      <c r="E360" s="73" t="str">
        <f aca="false">Cap_09!E129</f>
        <v>OK</v>
      </c>
    </row>
    <row r="361" customFormat="false" ht="15" hidden="false" customHeight="true" outlineLevel="0" collapsed="false">
      <c r="A361" s="71" t="s">
        <v>40</v>
      </c>
      <c r="B361" s="71" t="s">
        <v>753</v>
      </c>
      <c r="C361" s="72" t="n">
        <f aca="false">Cap_09!B130</f>
        <v>-34</v>
      </c>
      <c r="D361" s="72" t="n">
        <f aca="false">Cap_09!D130</f>
        <v>-34</v>
      </c>
      <c r="E361" s="73" t="str">
        <f aca="false">Cap_09!E130</f>
        <v>OK</v>
      </c>
    </row>
    <row r="362" customFormat="false" ht="15" hidden="false" customHeight="true" outlineLevel="0" collapsed="false">
      <c r="A362" s="71" t="s">
        <v>40</v>
      </c>
      <c r="B362" s="71" t="s">
        <v>713</v>
      </c>
      <c r="C362" s="72" t="n">
        <f aca="false">Cap_09!B131</f>
        <v>1387</v>
      </c>
      <c r="D362" s="72" t="n">
        <f aca="false">Cap_09!D131</f>
        <v>1387</v>
      </c>
      <c r="E362" s="73" t="str">
        <f aca="false">Cap_09!E131</f>
        <v>OK</v>
      </c>
    </row>
    <row r="363" customFormat="false" ht="15" hidden="false" customHeight="true" outlineLevel="0" collapsed="false">
      <c r="A363" s="71" t="s">
        <v>40</v>
      </c>
      <c r="B363" s="71" t="s">
        <v>754</v>
      </c>
      <c r="C363" s="72" t="n">
        <f aca="false">Cap_09!B132</f>
        <v>497</v>
      </c>
      <c r="D363" s="72" t="n">
        <f aca="false">Cap_09!D132</f>
        <v>497</v>
      </c>
      <c r="E363" s="73" t="str">
        <f aca="false">Cap_09!E132</f>
        <v>OK</v>
      </c>
    </row>
    <row r="364" customFormat="false" ht="15" hidden="false" customHeight="true" outlineLevel="0" collapsed="false">
      <c r="A364" s="71" t="s">
        <v>40</v>
      </c>
      <c r="B364" s="71" t="s">
        <v>756</v>
      </c>
      <c r="C364" s="72" t="n">
        <f aca="false">Cap_09!B134</f>
        <v>2348191</v>
      </c>
      <c r="D364" s="72" t="n">
        <f aca="false">Cap_09!D134</f>
        <v>2348191</v>
      </c>
      <c r="E364" s="73" t="str">
        <f aca="false">Cap_09!E134</f>
        <v>OK</v>
      </c>
    </row>
    <row r="365" customFormat="false" ht="15" hidden="false" customHeight="true" outlineLevel="0" collapsed="false">
      <c r="A365" s="71" t="s">
        <v>40</v>
      </c>
      <c r="B365" s="71" t="s">
        <v>715</v>
      </c>
      <c r="C365" s="72" t="n">
        <f aca="false">Cap_09!B135</f>
        <v>5548</v>
      </c>
      <c r="D365" s="72" t="n">
        <f aca="false">Cap_09!D135</f>
        <v>5548</v>
      </c>
      <c r="E365" s="73" t="str">
        <f aca="false">Cap_09!E135</f>
        <v>OK</v>
      </c>
    </row>
    <row r="366" customFormat="false" ht="15" hidden="false" customHeight="true" outlineLevel="0" collapsed="false">
      <c r="A366" s="71" t="s">
        <v>40</v>
      </c>
      <c r="B366" s="71" t="s">
        <v>716</v>
      </c>
      <c r="C366" s="72" t="n">
        <f aca="false">Cap_09!B136</f>
        <v>8322</v>
      </c>
      <c r="D366" s="72" t="n">
        <f aca="false">Cap_09!D136</f>
        <v>8322</v>
      </c>
      <c r="E366" s="73" t="str">
        <f aca="false">Cap_09!E136</f>
        <v>OK</v>
      </c>
    </row>
    <row r="367" customFormat="false" ht="15" hidden="false" customHeight="true" outlineLevel="0" collapsed="false">
      <c r="A367" s="71" t="s">
        <v>40</v>
      </c>
      <c r="B367" s="71" t="s">
        <v>757</v>
      </c>
      <c r="C367" s="72" t="n">
        <f aca="false">Cap_09!B137</f>
        <v>1387</v>
      </c>
      <c r="D367" s="72" t="n">
        <f aca="false">Cap_09!D137</f>
        <v>1387</v>
      </c>
      <c r="E367" s="73" t="str">
        <f aca="false">Cap_09!E137</f>
        <v>OK</v>
      </c>
    </row>
    <row r="368" customFormat="false" ht="15" hidden="false" customHeight="true" outlineLevel="0" collapsed="false">
      <c r="A368" s="71" t="s">
        <v>40</v>
      </c>
      <c r="B368" s="71" t="s">
        <v>758</v>
      </c>
      <c r="C368" s="72" t="n">
        <f aca="false">Cap_09!B138</f>
        <v>16644</v>
      </c>
      <c r="D368" s="72" t="n">
        <f aca="false">Cap_09!D138</f>
        <v>16644</v>
      </c>
      <c r="E368" s="73" t="str">
        <f aca="false">Cap_09!E138</f>
        <v>OK</v>
      </c>
    </row>
    <row r="369" customFormat="false" ht="15" hidden="false" customHeight="true" outlineLevel="0" collapsed="false">
      <c r="A369" s="71" t="s">
        <v>40</v>
      </c>
      <c r="B369" s="71" t="s">
        <v>688</v>
      </c>
      <c r="C369" s="72" t="n">
        <f aca="false">Cap_09!B143</f>
        <v>1039393.59698682</v>
      </c>
      <c r="D369" s="72" t="n">
        <f aca="false">Cap_09!D143</f>
        <v>1039394</v>
      </c>
      <c r="E369" s="73" t="str">
        <f aca="false">Cap_09!E143</f>
        <v>OK</v>
      </c>
    </row>
    <row r="370" customFormat="false" ht="15" hidden="false" customHeight="true" outlineLevel="0" collapsed="false">
      <c r="A370" s="71" t="s">
        <v>40</v>
      </c>
      <c r="B370" s="71" t="s">
        <v>691</v>
      </c>
      <c r="C370" s="76" t="n">
        <f aca="false">Cap_09!B144</f>
        <v>0.306967984934087</v>
      </c>
      <c r="D370" s="76" t="n">
        <f aca="false">Cap_09!D144</f>
        <v>0.307</v>
      </c>
      <c r="E370" s="73" t="str">
        <f aca="false">Cap_09!E144</f>
        <v>OK</v>
      </c>
    </row>
    <row r="371" customFormat="false" ht="15" hidden="false" customHeight="true" outlineLevel="0" collapsed="false">
      <c r="A371" s="71" t="s">
        <v>40</v>
      </c>
      <c r="B371" s="71" t="s">
        <v>761</v>
      </c>
      <c r="C371" s="72" t="n">
        <f aca="false">Cap_09!B145</f>
        <v>390000</v>
      </c>
      <c r="D371" s="72" t="n">
        <f aca="false">Cap_09!D145</f>
        <v>390000</v>
      </c>
      <c r="E371" s="73" t="str">
        <f aca="false">Cap_09!E145</f>
        <v>OK</v>
      </c>
    </row>
    <row r="372" customFormat="false" ht="15" hidden="false" customHeight="true" outlineLevel="0" collapsed="false">
      <c r="A372" s="71" t="s">
        <v>40</v>
      </c>
      <c r="B372" s="71" t="s">
        <v>762</v>
      </c>
      <c r="C372" s="75" t="n">
        <f aca="false">Cap_09!B146</f>
        <v>1.61157024793388</v>
      </c>
      <c r="D372" s="75" t="n">
        <f aca="false">Cap_09!D146</f>
        <v>1.61</v>
      </c>
      <c r="E372" s="73" t="str">
        <f aca="false">Cap_09!E146</f>
        <v>OK</v>
      </c>
    </row>
    <row r="373" customFormat="false" ht="15" hidden="false" customHeight="true" outlineLevel="0" collapsed="false">
      <c r="A373" s="71" t="s">
        <v>40</v>
      </c>
      <c r="B373" s="71" t="s">
        <v>763</v>
      </c>
      <c r="C373" s="75" t="n">
        <f aca="false">Cap_09!B147</f>
        <v>4.38842975206612</v>
      </c>
      <c r="D373" s="75" t="n">
        <f aca="false">Cap_09!D147</f>
        <v>4.39</v>
      </c>
      <c r="E373" s="73" t="str">
        <f aca="false">Cap_09!E147</f>
        <v>OK</v>
      </c>
    </row>
    <row r="374" customFormat="false" ht="15" hidden="false" customHeight="true" outlineLevel="0" collapsed="false">
      <c r="A374" s="71" t="s">
        <v>40</v>
      </c>
      <c r="B374" s="71" t="s">
        <v>764</v>
      </c>
      <c r="C374" s="76" t="n">
        <f aca="false">Cap_09!B148</f>
        <v>0.125</v>
      </c>
      <c r="D374" s="76" t="n">
        <f aca="false">Cap_09!D148</f>
        <v>0.125</v>
      </c>
      <c r="E374" s="73" t="str">
        <f aca="false">Cap_09!E148</f>
        <v>OK</v>
      </c>
    </row>
    <row r="375" customFormat="false" ht="15" hidden="false" customHeight="true" outlineLevel="0" collapsed="false">
      <c r="A375" s="71" t="s">
        <v>40</v>
      </c>
      <c r="B375" s="71" t="s">
        <v>766</v>
      </c>
      <c r="C375" s="72" t="n">
        <f aca="false">Cap_09!B150</f>
        <v>10620</v>
      </c>
      <c r="D375" s="72" t="n">
        <f aca="false">Cap_09!D150</f>
        <v>10620</v>
      </c>
      <c r="E375" s="73" t="str">
        <f aca="false">Cap_09!E150</f>
        <v>OK</v>
      </c>
    </row>
    <row r="376" customFormat="false" ht="15" hidden="false" customHeight="true" outlineLevel="0" collapsed="false">
      <c r="A376" s="71" t="s">
        <v>40</v>
      </c>
      <c r="B376" s="71" t="s">
        <v>767</v>
      </c>
      <c r="C376" s="72" t="n">
        <f aca="false">Cap_09!B151</f>
        <v>240</v>
      </c>
      <c r="D376" s="72" t="n">
        <f aca="false">Cap_09!D151</f>
        <v>240</v>
      </c>
      <c r="E376" s="73" t="str">
        <f aca="false">Cap_09!E151</f>
        <v>OK</v>
      </c>
    </row>
    <row r="377" customFormat="false" ht="15" hidden="false" customHeight="true" outlineLevel="0" collapsed="false">
      <c r="A377" s="71" t="s">
        <v>40</v>
      </c>
      <c r="B377" s="71" t="s">
        <v>768</v>
      </c>
      <c r="C377" s="72" t="n">
        <f aca="false">Cap_09!B152</f>
        <v>6720</v>
      </c>
      <c r="D377" s="72" t="n">
        <f aca="false">Cap_09!D152</f>
        <v>6720</v>
      </c>
      <c r="E377" s="73" t="str">
        <f aca="false">Cap_09!E152</f>
        <v>OK</v>
      </c>
    </row>
    <row r="378" customFormat="false" ht="15" hidden="false" customHeight="true" outlineLevel="0" collapsed="false">
      <c r="A378" s="71" t="s">
        <v>40</v>
      </c>
      <c r="B378" s="71" t="s">
        <v>769</v>
      </c>
      <c r="C378" s="72" t="n">
        <f aca="false">Cap_09!B153</f>
        <v>3900</v>
      </c>
      <c r="D378" s="72" t="n">
        <f aca="false">Cap_09!D153</f>
        <v>3900</v>
      </c>
      <c r="E378" s="73" t="str">
        <f aca="false">Cap_09!E153</f>
        <v>OK</v>
      </c>
    </row>
    <row r="379" customFormat="false" ht="15" hidden="false" customHeight="true" outlineLevel="0" collapsed="false">
      <c r="A379" s="71" t="s">
        <v>40</v>
      </c>
      <c r="B379" s="71" t="s">
        <v>770</v>
      </c>
      <c r="C379" s="79" t="n">
        <f aca="false">Cap_09!B154</f>
        <v>0.0161157024793388</v>
      </c>
      <c r="D379" s="79" t="n">
        <f aca="false">Cap_09!D154</f>
        <v>0.0161</v>
      </c>
      <c r="E379" s="73" t="str">
        <f aca="false">Cap_09!E154</f>
        <v>OK</v>
      </c>
    </row>
    <row r="380" customFormat="false" ht="15" hidden="false" customHeight="true" outlineLevel="0" collapsed="false">
      <c r="A380" s="71" t="s">
        <v>43</v>
      </c>
      <c r="B380" s="71" t="s">
        <v>782</v>
      </c>
      <c r="C380" s="72" t="n">
        <f aca="false">Cap_10!B14</f>
        <v>60000</v>
      </c>
      <c r="D380" s="72" t="n">
        <f aca="false">Cap_10!D14</f>
        <v>60000</v>
      </c>
      <c r="E380" s="73" t="str">
        <f aca="false">Cap_10!E14</f>
        <v>OK</v>
      </c>
    </row>
    <row r="381" customFormat="false" ht="15" hidden="false" customHeight="true" outlineLevel="0" collapsed="false">
      <c r="A381" s="71" t="s">
        <v>43</v>
      </c>
      <c r="B381" s="71" t="s">
        <v>783</v>
      </c>
      <c r="C381" s="72" t="n">
        <f aca="false">Cap_10!B15</f>
        <v>780000</v>
      </c>
      <c r="D381" s="72" t="n">
        <f aca="false">Cap_10!D15</f>
        <v>780000</v>
      </c>
      <c r="E381" s="73" t="str">
        <f aca="false">Cap_10!E15</f>
        <v>OK</v>
      </c>
    </row>
    <row r="382" customFormat="false" ht="15" hidden="false" customHeight="true" outlineLevel="0" collapsed="false">
      <c r="A382" s="71" t="s">
        <v>43</v>
      </c>
      <c r="B382" s="71" t="s">
        <v>790</v>
      </c>
      <c r="C382" s="72" t="n">
        <f aca="false">Cap_10!B24</f>
        <v>120000</v>
      </c>
      <c r="D382" s="72" t="n">
        <f aca="false">Cap_10!D24</f>
        <v>120000</v>
      </c>
      <c r="E382" s="73" t="str">
        <f aca="false">Cap_10!E24</f>
        <v>OK</v>
      </c>
    </row>
    <row r="383" customFormat="false" ht="15" hidden="false" customHeight="true" outlineLevel="0" collapsed="false">
      <c r="A383" s="71" t="s">
        <v>43</v>
      </c>
      <c r="B383" s="71" t="s">
        <v>791</v>
      </c>
      <c r="C383" s="72" t="n">
        <f aca="false">Cap_10!B25</f>
        <v>168000</v>
      </c>
      <c r="D383" s="72" t="n">
        <f aca="false">Cap_10!D25</f>
        <v>168000</v>
      </c>
      <c r="E383" s="73" t="str">
        <f aca="false">Cap_10!E25</f>
        <v>OK</v>
      </c>
    </row>
    <row r="384" customFormat="false" ht="15" hidden="false" customHeight="true" outlineLevel="0" collapsed="false">
      <c r="A384" s="71" t="s">
        <v>43</v>
      </c>
      <c r="B384" s="71" t="s">
        <v>792</v>
      </c>
      <c r="C384" s="72" t="n">
        <f aca="false">Cap_10!B26</f>
        <v>72000</v>
      </c>
      <c r="D384" s="72" t="n">
        <f aca="false">Cap_10!D26</f>
        <v>72000</v>
      </c>
      <c r="E384" s="73" t="str">
        <f aca="false">Cap_10!E26</f>
        <v>OK</v>
      </c>
    </row>
    <row r="385" customFormat="false" ht="15" hidden="false" customHeight="true" outlineLevel="0" collapsed="false">
      <c r="A385" s="71" t="s">
        <v>43</v>
      </c>
      <c r="B385" s="71" t="s">
        <v>793</v>
      </c>
      <c r="C385" s="72" t="n">
        <f aca="false">Cap_10!B27</f>
        <v>120000</v>
      </c>
      <c r="D385" s="72" t="n">
        <f aca="false">Cap_10!D27</f>
        <v>120000</v>
      </c>
      <c r="E385" s="73" t="str">
        <f aca="false">Cap_10!E27</f>
        <v>OK</v>
      </c>
    </row>
    <row r="386" customFormat="false" ht="15" hidden="false" customHeight="true" outlineLevel="0" collapsed="false">
      <c r="A386" s="71" t="s">
        <v>43</v>
      </c>
      <c r="B386" s="71" t="s">
        <v>794</v>
      </c>
      <c r="C386" s="72" t="n">
        <f aca="false">Cap_10!B28</f>
        <v>480000</v>
      </c>
      <c r="D386" s="72" t="n">
        <f aca="false">Cap_10!D28</f>
        <v>480000</v>
      </c>
      <c r="E386" s="73" t="str">
        <f aca="false">Cap_10!E28</f>
        <v>OK</v>
      </c>
    </row>
    <row r="387" customFormat="false" ht="15" hidden="false" customHeight="true" outlineLevel="0" collapsed="false">
      <c r="A387" s="71" t="s">
        <v>43</v>
      </c>
      <c r="B387" s="71" t="s">
        <v>799</v>
      </c>
      <c r="C387" s="72" t="n">
        <f aca="false">Cap_10!B33</f>
        <v>45000</v>
      </c>
      <c r="D387" s="72" t="n">
        <f aca="false">Cap_10!D33</f>
        <v>45000</v>
      </c>
      <c r="E387" s="73" t="str">
        <f aca="false">Cap_10!E33</f>
        <v>OK</v>
      </c>
    </row>
    <row r="388" customFormat="false" ht="15" hidden="false" customHeight="true" outlineLevel="0" collapsed="false">
      <c r="A388" s="71" t="s">
        <v>43</v>
      </c>
      <c r="B388" s="71" t="s">
        <v>800</v>
      </c>
      <c r="C388" s="72" t="n">
        <f aca="false">Cap_10!B34</f>
        <v>0</v>
      </c>
      <c r="D388" s="72" t="n">
        <f aca="false">Cap_10!D34</f>
        <v>0</v>
      </c>
      <c r="E388" s="73" t="str">
        <f aca="false">Cap_10!E34</f>
        <v>OK</v>
      </c>
    </row>
    <row r="389" customFormat="false" ht="15" hidden="false" customHeight="true" outlineLevel="0" collapsed="false">
      <c r="A389" s="71" t="s">
        <v>43</v>
      </c>
      <c r="B389" s="71" t="s">
        <v>801</v>
      </c>
      <c r="C389" s="72" t="n">
        <f aca="false">Cap_10!B35</f>
        <v>60000</v>
      </c>
      <c r="D389" s="72" t="n">
        <f aca="false">Cap_10!D35</f>
        <v>60000</v>
      </c>
      <c r="E389" s="73" t="str">
        <f aca="false">Cap_10!E35</f>
        <v>OK</v>
      </c>
    </row>
    <row r="390" customFormat="false" ht="15" hidden="false" customHeight="true" outlineLevel="0" collapsed="false">
      <c r="A390" s="71" t="s">
        <v>43</v>
      </c>
      <c r="B390" s="71" t="s">
        <v>802</v>
      </c>
      <c r="C390" s="72" t="n">
        <f aca="false">Cap_10!B36</f>
        <v>45000</v>
      </c>
      <c r="D390" s="72" t="n">
        <f aca="false">Cap_10!D36</f>
        <v>45000</v>
      </c>
      <c r="E390" s="73" t="str">
        <f aca="false">Cap_10!E36</f>
        <v>OK</v>
      </c>
    </row>
    <row r="391" customFormat="false" ht="15" hidden="false" customHeight="true" outlineLevel="0" collapsed="false">
      <c r="A391" s="71" t="s">
        <v>43</v>
      </c>
      <c r="B391" s="71" t="s">
        <v>803</v>
      </c>
      <c r="C391" s="72" t="n">
        <f aca="false">Cap_10!B37</f>
        <v>150000</v>
      </c>
      <c r="D391" s="72" t="n">
        <f aca="false">Cap_10!D37</f>
        <v>150000</v>
      </c>
      <c r="E391" s="73" t="str">
        <f aca="false">Cap_10!E37</f>
        <v>OK</v>
      </c>
    </row>
    <row r="392" customFormat="false" ht="15" hidden="false" customHeight="true" outlineLevel="0" collapsed="false">
      <c r="A392" s="71" t="s">
        <v>43</v>
      </c>
      <c r="B392" s="71" t="s">
        <v>810</v>
      </c>
      <c r="C392" s="72" t="n">
        <f aca="false">Cap_10!B46</f>
        <v>4500</v>
      </c>
      <c r="D392" s="72" t="n">
        <f aca="false">Cap_10!D46</f>
        <v>4500</v>
      </c>
      <c r="E392" s="73" t="str">
        <f aca="false">Cap_10!E46</f>
        <v>OK</v>
      </c>
    </row>
    <row r="393" customFormat="false" ht="15" hidden="false" customHeight="true" outlineLevel="0" collapsed="false">
      <c r="A393" s="71" t="s">
        <v>43</v>
      </c>
      <c r="B393" s="71" t="s">
        <v>811</v>
      </c>
      <c r="C393" s="72" t="n">
        <f aca="false">Cap_10!B47</f>
        <v>45000</v>
      </c>
      <c r="D393" s="72" t="n">
        <f aca="false">Cap_10!D47</f>
        <v>45000</v>
      </c>
      <c r="E393" s="73" t="str">
        <f aca="false">Cap_10!E47</f>
        <v>OK</v>
      </c>
    </row>
    <row r="394" customFormat="false" ht="15" hidden="false" customHeight="true" outlineLevel="0" collapsed="false">
      <c r="A394" s="71" t="s">
        <v>43</v>
      </c>
      <c r="B394" s="71" t="s">
        <v>812</v>
      </c>
      <c r="C394" s="72" t="n">
        <f aca="false">Cap_10!B48</f>
        <v>9000</v>
      </c>
      <c r="D394" s="72" t="n">
        <f aca="false">Cap_10!D48</f>
        <v>9000</v>
      </c>
      <c r="E394" s="73" t="str">
        <f aca="false">Cap_10!E48</f>
        <v>OK</v>
      </c>
    </row>
    <row r="395" customFormat="false" ht="15" hidden="false" customHeight="true" outlineLevel="0" collapsed="false">
      <c r="A395" s="71" t="s">
        <v>43</v>
      </c>
      <c r="B395" s="71" t="s">
        <v>813</v>
      </c>
      <c r="C395" s="72" t="n">
        <f aca="false">Cap_10!B49</f>
        <v>31500</v>
      </c>
      <c r="D395" s="72" t="n">
        <f aca="false">Cap_10!D49</f>
        <v>31500</v>
      </c>
      <c r="E395" s="73" t="str">
        <f aca="false">Cap_10!E49</f>
        <v>OK</v>
      </c>
    </row>
    <row r="396" customFormat="false" ht="15" hidden="false" customHeight="true" outlineLevel="0" collapsed="false">
      <c r="A396" s="71" t="s">
        <v>43</v>
      </c>
      <c r="B396" s="71" t="s">
        <v>814</v>
      </c>
      <c r="C396" s="72" t="n">
        <f aca="false">Cap_10!B50</f>
        <v>90000</v>
      </c>
      <c r="D396" s="72" t="n">
        <f aca="false">Cap_10!D50</f>
        <v>90000</v>
      </c>
      <c r="E396" s="73" t="str">
        <f aca="false">Cap_10!E50</f>
        <v>OK</v>
      </c>
    </row>
    <row r="397" customFormat="false" ht="15" hidden="false" customHeight="true" outlineLevel="0" collapsed="false">
      <c r="A397" s="71" t="s">
        <v>43</v>
      </c>
      <c r="B397" s="71" t="s">
        <v>819</v>
      </c>
      <c r="C397" s="72" t="n">
        <f aca="false">Cap_10!B55</f>
        <v>10500</v>
      </c>
      <c r="D397" s="72" t="n">
        <f aca="false">Cap_10!D55</f>
        <v>10500</v>
      </c>
      <c r="E397" s="73" t="str">
        <f aca="false">Cap_10!E55</f>
        <v>OK</v>
      </c>
    </row>
    <row r="398" customFormat="false" ht="15" hidden="false" customHeight="true" outlineLevel="0" collapsed="false">
      <c r="A398" s="71" t="s">
        <v>43</v>
      </c>
      <c r="B398" s="71" t="s">
        <v>820</v>
      </c>
      <c r="C398" s="72" t="n">
        <f aca="false">Cap_10!B56</f>
        <v>27000</v>
      </c>
      <c r="D398" s="72" t="n">
        <f aca="false">Cap_10!D56</f>
        <v>27000</v>
      </c>
      <c r="E398" s="73" t="str">
        <f aca="false">Cap_10!E56</f>
        <v>OK</v>
      </c>
    </row>
    <row r="399" customFormat="false" ht="15" hidden="false" customHeight="true" outlineLevel="0" collapsed="false">
      <c r="A399" s="71" t="s">
        <v>43</v>
      </c>
      <c r="B399" s="71" t="s">
        <v>821</v>
      </c>
      <c r="C399" s="72" t="n">
        <f aca="false">Cap_10!B57</f>
        <v>9000</v>
      </c>
      <c r="D399" s="72" t="n">
        <f aca="false">Cap_10!D57</f>
        <v>9000</v>
      </c>
      <c r="E399" s="73" t="str">
        <f aca="false">Cap_10!E57</f>
        <v>OK</v>
      </c>
    </row>
    <row r="400" customFormat="false" ht="15" hidden="false" customHeight="true" outlineLevel="0" collapsed="false">
      <c r="A400" s="71" t="s">
        <v>43</v>
      </c>
      <c r="B400" s="71" t="s">
        <v>822</v>
      </c>
      <c r="C400" s="72" t="n">
        <f aca="false">Cap_10!B58</f>
        <v>13500</v>
      </c>
      <c r="D400" s="72" t="n">
        <f aca="false">Cap_10!D58</f>
        <v>13500</v>
      </c>
      <c r="E400" s="73" t="str">
        <f aca="false">Cap_10!E58</f>
        <v>OK</v>
      </c>
    </row>
    <row r="401" customFormat="false" ht="15" hidden="false" customHeight="true" outlineLevel="0" collapsed="false">
      <c r="A401" s="71" t="s">
        <v>43</v>
      </c>
      <c r="B401" s="71" t="s">
        <v>823</v>
      </c>
      <c r="C401" s="72" t="n">
        <f aca="false">Cap_10!B59</f>
        <v>60000</v>
      </c>
      <c r="D401" s="72" t="n">
        <f aca="false">Cap_10!D59</f>
        <v>60000</v>
      </c>
      <c r="E401" s="73" t="str">
        <f aca="false">Cap_10!E59</f>
        <v>OK</v>
      </c>
    </row>
    <row r="402" customFormat="false" ht="15" hidden="false" customHeight="true" outlineLevel="0" collapsed="false">
      <c r="A402" s="71" t="s">
        <v>43</v>
      </c>
      <c r="B402" s="71" t="s">
        <v>824</v>
      </c>
      <c r="C402" s="72" t="n">
        <f aca="false">Cap_10!B60</f>
        <v>0</v>
      </c>
      <c r="D402" s="72" t="n">
        <f aca="false">Cap_10!D60</f>
        <v>0</v>
      </c>
      <c r="E402" s="73" t="str">
        <f aca="false">Cap_10!E60</f>
        <v>OK</v>
      </c>
    </row>
    <row r="403" customFormat="false" ht="15" hidden="false" customHeight="true" outlineLevel="0" collapsed="false">
      <c r="A403" s="71" t="s">
        <v>43</v>
      </c>
      <c r="B403" s="71" t="s">
        <v>827</v>
      </c>
      <c r="C403" s="72" t="n">
        <f aca="false">Cap_10!B65</f>
        <v>180000</v>
      </c>
      <c r="D403" s="72" t="n">
        <f aca="false">Cap_10!D65</f>
        <v>180000</v>
      </c>
      <c r="E403" s="73" t="str">
        <f aca="false">Cap_10!E65</f>
        <v>OK</v>
      </c>
    </row>
    <row r="404" customFormat="false" ht="15" hidden="false" customHeight="true" outlineLevel="0" collapsed="false">
      <c r="A404" s="71" t="s">
        <v>43</v>
      </c>
      <c r="B404" s="71" t="s">
        <v>828</v>
      </c>
      <c r="C404" s="72" t="n">
        <f aca="false">Cap_10!B66</f>
        <v>240000</v>
      </c>
      <c r="D404" s="72" t="n">
        <f aca="false">Cap_10!D66</f>
        <v>240000</v>
      </c>
      <c r="E404" s="73" t="str">
        <f aca="false">Cap_10!E66</f>
        <v>OK</v>
      </c>
    </row>
    <row r="405" customFormat="false" ht="15" hidden="false" customHeight="true" outlineLevel="0" collapsed="false">
      <c r="A405" s="71" t="s">
        <v>43</v>
      </c>
      <c r="B405" s="71" t="s">
        <v>829</v>
      </c>
      <c r="C405" s="72" t="n">
        <f aca="false">Cap_10!B67</f>
        <v>150000</v>
      </c>
      <c r="D405" s="72" t="n">
        <f aca="false">Cap_10!D67</f>
        <v>150000</v>
      </c>
      <c r="E405" s="73" t="str">
        <f aca="false">Cap_10!E67</f>
        <v>OK</v>
      </c>
    </row>
    <row r="406" customFormat="false" ht="15" hidden="false" customHeight="true" outlineLevel="0" collapsed="false">
      <c r="A406" s="71" t="s">
        <v>43</v>
      </c>
      <c r="B406" s="71" t="s">
        <v>830</v>
      </c>
      <c r="C406" s="72" t="n">
        <f aca="false">Cap_10!B68</f>
        <v>210000</v>
      </c>
      <c r="D406" s="72" t="n">
        <f aca="false">Cap_10!D68</f>
        <v>210000</v>
      </c>
      <c r="E406" s="73" t="str">
        <f aca="false">Cap_10!E68</f>
        <v>OK</v>
      </c>
    </row>
    <row r="407" customFormat="false" ht="15" hidden="false" customHeight="true" outlineLevel="0" collapsed="false">
      <c r="A407" s="71" t="s">
        <v>43</v>
      </c>
      <c r="B407" s="71" t="s">
        <v>831</v>
      </c>
      <c r="C407" s="72" t="n">
        <f aca="false">Cap_10!B69</f>
        <v>780000</v>
      </c>
      <c r="D407" s="72" t="n">
        <f aca="false">Cap_10!D69</f>
        <v>780000</v>
      </c>
      <c r="E407" s="73" t="str">
        <f aca="false">Cap_10!E69</f>
        <v>OK</v>
      </c>
    </row>
    <row r="408" customFormat="false" ht="15" hidden="false" customHeight="true" outlineLevel="0" collapsed="false">
      <c r="A408" s="71" t="s">
        <v>43</v>
      </c>
      <c r="B408" s="71" t="s">
        <v>832</v>
      </c>
      <c r="C408" s="72" t="n">
        <f aca="false">Cap_10!B70</f>
        <v>0</v>
      </c>
      <c r="D408" s="72" t="n">
        <f aca="false">Cap_10!D70</f>
        <v>0</v>
      </c>
      <c r="E408" s="73" t="str">
        <f aca="false">Cap_10!E70</f>
        <v>OK</v>
      </c>
    </row>
    <row r="409" customFormat="false" ht="15" hidden="false" customHeight="true" outlineLevel="0" collapsed="false">
      <c r="A409" s="71" t="s">
        <v>43</v>
      </c>
      <c r="B409" s="71" t="s">
        <v>839</v>
      </c>
      <c r="C409" s="72" t="n">
        <f aca="false">Cap_10!B75</f>
        <v>300</v>
      </c>
      <c r="D409" s="72" t="n">
        <f aca="false">Cap_10!D75</f>
        <v>300</v>
      </c>
      <c r="E409" s="73" t="str">
        <f aca="false">Cap_10!E75</f>
        <v>OK</v>
      </c>
    </row>
    <row r="410" customFormat="false" ht="15" hidden="false" customHeight="true" outlineLevel="0" collapsed="false">
      <c r="A410" s="71" t="s">
        <v>43</v>
      </c>
      <c r="B410" s="71" t="s">
        <v>841</v>
      </c>
      <c r="C410" s="72" t="n">
        <f aca="false">Cap_10!B76</f>
        <v>20</v>
      </c>
      <c r="D410" s="72" t="n">
        <f aca="false">Cap_10!D76</f>
        <v>20</v>
      </c>
      <c r="E410" s="73" t="str">
        <f aca="false">Cap_10!E76</f>
        <v>OK</v>
      </c>
    </row>
    <row r="411" customFormat="false" ht="15" hidden="false" customHeight="true" outlineLevel="0" collapsed="false">
      <c r="A411" s="71" t="s">
        <v>43</v>
      </c>
      <c r="B411" s="71" t="s">
        <v>843</v>
      </c>
      <c r="C411" s="72" t="n">
        <f aca="false">Cap_10!B77</f>
        <v>50</v>
      </c>
      <c r="D411" s="72" t="n">
        <f aca="false">Cap_10!D77</f>
        <v>50</v>
      </c>
      <c r="E411" s="73" t="str">
        <f aca="false">Cap_10!E77</f>
        <v>OK</v>
      </c>
    </row>
    <row r="412" customFormat="false" ht="15" hidden="false" customHeight="true" outlineLevel="0" collapsed="false">
      <c r="A412" s="71" t="s">
        <v>43</v>
      </c>
      <c r="B412" s="71" t="s">
        <v>845</v>
      </c>
      <c r="C412" s="72" t="n">
        <f aca="false">Cap_10!B78</f>
        <v>30</v>
      </c>
      <c r="D412" s="72" t="n">
        <f aca="false">Cap_10!D78</f>
        <v>30</v>
      </c>
      <c r="E412" s="73" t="str">
        <f aca="false">Cap_10!E78</f>
        <v>OK</v>
      </c>
    </row>
    <row r="413" customFormat="false" ht="15" hidden="false" customHeight="true" outlineLevel="0" collapsed="false">
      <c r="A413" s="71" t="s">
        <v>43</v>
      </c>
      <c r="B413" s="71" t="s">
        <v>851</v>
      </c>
      <c r="C413" s="72" t="n">
        <f aca="false">Cap_10!B86</f>
        <v>24000</v>
      </c>
      <c r="D413" s="72" t="n">
        <f aca="false">Cap_10!D86</f>
        <v>24000</v>
      </c>
      <c r="E413" s="73" t="str">
        <f aca="false">Cap_10!E86</f>
        <v>OK</v>
      </c>
    </row>
    <row r="414" customFormat="false" ht="15" hidden="false" customHeight="true" outlineLevel="0" collapsed="false">
      <c r="A414" s="71" t="s">
        <v>43</v>
      </c>
      <c r="B414" s="71" t="s">
        <v>852</v>
      </c>
      <c r="C414" s="72" t="n">
        <f aca="false">Cap_10!B87</f>
        <v>66000</v>
      </c>
      <c r="D414" s="72" t="n">
        <f aca="false">Cap_10!D87</f>
        <v>66000</v>
      </c>
      <c r="E414" s="73" t="str">
        <f aca="false">Cap_10!E87</f>
        <v>OK</v>
      </c>
    </row>
    <row r="415" customFormat="false" ht="15" hidden="false" customHeight="true" outlineLevel="0" collapsed="false">
      <c r="A415" s="71" t="s">
        <v>43</v>
      </c>
      <c r="B415" s="71" t="s">
        <v>859</v>
      </c>
      <c r="C415" s="75" t="n">
        <f aca="false">Cap_10!B95</f>
        <v>0.6</v>
      </c>
      <c r="D415" s="75" t="n">
        <f aca="false">Cap_10!D95</f>
        <v>0.6</v>
      </c>
      <c r="E415" s="73" t="str">
        <f aca="false">Cap_10!E95</f>
        <v>OK</v>
      </c>
    </row>
    <row r="416" customFormat="false" ht="15" hidden="false" customHeight="true" outlineLevel="0" collapsed="false">
      <c r="A416" s="71" t="s">
        <v>43</v>
      </c>
      <c r="B416" s="71" t="s">
        <v>863</v>
      </c>
      <c r="C416" s="75" t="n">
        <f aca="false">Cap_10!B97</f>
        <v>4.8</v>
      </c>
      <c r="D416" s="75" t="n">
        <f aca="false">Cap_10!D97</f>
        <v>4.8</v>
      </c>
      <c r="E416" s="73" t="str">
        <f aca="false">Cap_10!E97</f>
        <v>OK</v>
      </c>
    </row>
    <row r="417" customFormat="false" ht="15" hidden="false" customHeight="true" outlineLevel="0" collapsed="false">
      <c r="A417" s="71" t="s">
        <v>43</v>
      </c>
      <c r="B417" s="71" t="s">
        <v>865</v>
      </c>
      <c r="C417" s="72" t="n">
        <f aca="false">Cap_10!B99</f>
        <v>20</v>
      </c>
      <c r="D417" s="72" t="n">
        <f aca="false">Cap_10!D99</f>
        <v>20</v>
      </c>
      <c r="E417" s="73" t="str">
        <f aca="false">Cap_10!E99</f>
        <v>OK</v>
      </c>
    </row>
    <row r="418" customFormat="false" ht="15" hidden="false" customHeight="true" outlineLevel="0" collapsed="false">
      <c r="A418" s="71" t="s">
        <v>43</v>
      </c>
      <c r="B418" s="71" t="s">
        <v>866</v>
      </c>
      <c r="C418" s="75" t="n">
        <f aca="false">Cap_10!B100</f>
        <v>12</v>
      </c>
      <c r="D418" s="75" t="n">
        <f aca="false">Cap_10!D100</f>
        <v>12</v>
      </c>
      <c r="E418" s="73" t="str">
        <f aca="false">Cap_10!E100</f>
        <v>OK</v>
      </c>
    </row>
    <row r="419" customFormat="false" ht="15" hidden="false" customHeight="true" outlineLevel="0" collapsed="false">
      <c r="A419" s="71" t="s">
        <v>43</v>
      </c>
      <c r="B419" s="71" t="s">
        <v>871</v>
      </c>
      <c r="C419" s="72" t="n">
        <f aca="false">Cap_10!B107</f>
        <v>210000</v>
      </c>
      <c r="D419" s="72" t="n">
        <f aca="false">Cap_10!D107</f>
        <v>210000</v>
      </c>
      <c r="E419" s="73" t="str">
        <f aca="false">Cap_10!E107</f>
        <v>OK</v>
      </c>
    </row>
    <row r="420" customFormat="false" ht="15" hidden="false" customHeight="true" outlineLevel="0" collapsed="false">
      <c r="A420" s="71" t="s">
        <v>43</v>
      </c>
      <c r="B420" s="71" t="s">
        <v>872</v>
      </c>
      <c r="C420" s="72" t="n">
        <f aca="false">Cap_10!B108</f>
        <v>90000</v>
      </c>
      <c r="D420" s="72" t="n">
        <f aca="false">Cap_10!D108</f>
        <v>90000</v>
      </c>
      <c r="E420" s="73" t="str">
        <f aca="false">Cap_10!E108</f>
        <v>OK</v>
      </c>
    </row>
    <row r="421" customFormat="false" ht="15" hidden="false" customHeight="true" outlineLevel="0" collapsed="false">
      <c r="A421" s="71" t="s">
        <v>43</v>
      </c>
      <c r="B421" s="71" t="s">
        <v>877</v>
      </c>
      <c r="C421" s="72" t="n">
        <f aca="false">Cap_10!B114</f>
        <v>84000</v>
      </c>
      <c r="D421" s="72" t="n">
        <f aca="false">Cap_10!D114</f>
        <v>84000</v>
      </c>
      <c r="E421" s="73" t="str">
        <f aca="false">Cap_10!E114</f>
        <v>OK</v>
      </c>
    </row>
    <row r="422" customFormat="false" ht="15" hidden="false" customHeight="true" outlineLevel="0" collapsed="false">
      <c r="A422" s="71" t="s">
        <v>43</v>
      </c>
      <c r="B422" s="71" t="s">
        <v>878</v>
      </c>
      <c r="C422" s="72" t="n">
        <f aca="false">Cap_10!B115</f>
        <v>20000</v>
      </c>
      <c r="D422" s="72" t="n">
        <f aca="false">Cap_10!D115</f>
        <v>20000</v>
      </c>
      <c r="E422" s="73" t="str">
        <f aca="false">Cap_10!E115</f>
        <v>OK</v>
      </c>
    </row>
    <row r="423" customFormat="false" ht="15" hidden="false" customHeight="true" outlineLevel="0" collapsed="false">
      <c r="A423" s="71" t="s">
        <v>43</v>
      </c>
      <c r="B423" s="71" t="s">
        <v>879</v>
      </c>
      <c r="C423" s="72" t="n">
        <f aca="false">Cap_10!B116</f>
        <v>20000</v>
      </c>
      <c r="D423" s="72" t="n">
        <f aca="false">Cap_10!D116</f>
        <v>20000</v>
      </c>
      <c r="E423" s="73" t="str">
        <f aca="false">Cap_10!E116</f>
        <v>OK</v>
      </c>
    </row>
    <row r="424" customFormat="false" ht="15" hidden="false" customHeight="true" outlineLevel="0" collapsed="false">
      <c r="A424" s="71" t="s">
        <v>43</v>
      </c>
      <c r="B424" s="71" t="s">
        <v>880</v>
      </c>
      <c r="C424" s="72" t="n">
        <f aca="false">Cap_10!B117</f>
        <v>124000</v>
      </c>
      <c r="D424" s="72" t="n">
        <f aca="false">Cap_10!D117</f>
        <v>124000</v>
      </c>
      <c r="E424" s="73" t="str">
        <f aca="false">Cap_10!E117</f>
        <v>OK</v>
      </c>
    </row>
    <row r="425" customFormat="false" ht="15" hidden="false" customHeight="true" outlineLevel="0" collapsed="false">
      <c r="A425" s="71" t="s">
        <v>43</v>
      </c>
      <c r="B425" s="71" t="s">
        <v>881</v>
      </c>
      <c r="C425" s="72" t="n">
        <f aca="false">Cap_10!B118</f>
        <v>36000</v>
      </c>
      <c r="D425" s="72" t="n">
        <f aca="false">Cap_10!D118</f>
        <v>36000</v>
      </c>
      <c r="E425" s="73" t="str">
        <f aca="false">Cap_10!E118</f>
        <v>OK</v>
      </c>
    </row>
    <row r="426" customFormat="false" ht="15" hidden="false" customHeight="true" outlineLevel="0" collapsed="false">
      <c r="A426" s="71" t="s">
        <v>43</v>
      </c>
      <c r="B426" s="71" t="s">
        <v>882</v>
      </c>
      <c r="C426" s="72" t="n">
        <f aca="false">Cap_10!B119</f>
        <v>80000</v>
      </c>
      <c r="D426" s="72" t="n">
        <f aca="false">Cap_10!D119</f>
        <v>80000</v>
      </c>
      <c r="E426" s="73" t="str">
        <f aca="false">Cap_10!E119</f>
        <v>OK</v>
      </c>
    </row>
    <row r="427" customFormat="false" ht="15" hidden="false" customHeight="true" outlineLevel="0" collapsed="false">
      <c r="A427" s="71" t="s">
        <v>43</v>
      </c>
      <c r="B427" s="71" t="s">
        <v>883</v>
      </c>
      <c r="C427" s="72" t="n">
        <f aca="false">Cap_10!B120</f>
        <v>60000</v>
      </c>
      <c r="D427" s="72" t="n">
        <f aca="false">Cap_10!D120</f>
        <v>60000</v>
      </c>
      <c r="E427" s="73" t="str">
        <f aca="false">Cap_10!E120</f>
        <v>OK</v>
      </c>
    </row>
    <row r="428" customFormat="false" ht="15" hidden="false" customHeight="true" outlineLevel="0" collapsed="false">
      <c r="A428" s="71" t="s">
        <v>43</v>
      </c>
      <c r="B428" s="71" t="s">
        <v>884</v>
      </c>
      <c r="C428" s="72" t="n">
        <f aca="false">Cap_10!B121</f>
        <v>176000</v>
      </c>
      <c r="D428" s="72" t="n">
        <f aca="false">Cap_10!D121</f>
        <v>176000</v>
      </c>
      <c r="E428" s="73" t="str">
        <f aca="false">Cap_10!E121</f>
        <v>OK</v>
      </c>
    </row>
    <row r="429" customFormat="false" ht="15" hidden="false" customHeight="true" outlineLevel="0" collapsed="false">
      <c r="A429" s="71" t="s">
        <v>43</v>
      </c>
      <c r="B429" s="71" t="s">
        <v>885</v>
      </c>
      <c r="C429" s="72" t="n">
        <f aca="false">Cap_10!B122</f>
        <v>-86000</v>
      </c>
      <c r="D429" s="72" t="n">
        <f aca="false">Cap_10!D122</f>
        <v>-86000</v>
      </c>
      <c r="E429" s="73" t="str">
        <f aca="false">Cap_10!E122</f>
        <v>OK</v>
      </c>
    </row>
    <row r="430" customFormat="false" ht="15" hidden="false" customHeight="true" outlineLevel="0" collapsed="false">
      <c r="A430" s="71" t="s">
        <v>43</v>
      </c>
      <c r="B430" s="71" t="s">
        <v>886</v>
      </c>
      <c r="C430" s="72" t="n">
        <f aca="false">Cap_10!B123</f>
        <v>86000</v>
      </c>
      <c r="D430" s="72" t="n">
        <f aca="false">Cap_10!D123</f>
        <v>86000</v>
      </c>
      <c r="E430" s="73" t="str">
        <f aca="false">Cap_10!E123</f>
        <v>OK</v>
      </c>
    </row>
    <row r="431" customFormat="false" ht="15" hidden="false" customHeight="true" outlineLevel="0" collapsed="false">
      <c r="A431" s="71" t="s">
        <v>43</v>
      </c>
      <c r="B431" s="71" t="s">
        <v>887</v>
      </c>
      <c r="C431" s="72" t="n">
        <f aca="false">Cap_10!B124</f>
        <v>0</v>
      </c>
      <c r="D431" s="72" t="n">
        <f aca="false">Cap_10!D124</f>
        <v>0</v>
      </c>
      <c r="E431" s="73" t="str">
        <f aca="false">Cap_10!E124</f>
        <v>OK</v>
      </c>
    </row>
    <row r="432" customFormat="false" ht="15" hidden="false" customHeight="true" outlineLevel="0" collapsed="false">
      <c r="A432" s="71" t="s">
        <v>43</v>
      </c>
      <c r="B432" s="71" t="s">
        <v>828</v>
      </c>
      <c r="C432" s="72" t="n">
        <f aca="false">Cap_10!B131</f>
        <v>240000</v>
      </c>
      <c r="D432" s="72" t="n">
        <f aca="false">Cap_10!D131</f>
        <v>240000</v>
      </c>
      <c r="E432" s="73" t="str">
        <f aca="false">Cap_10!E131</f>
        <v>OK</v>
      </c>
    </row>
    <row r="433" customFormat="false" ht="15" hidden="false" customHeight="true" outlineLevel="0" collapsed="false">
      <c r="A433" s="71" t="s">
        <v>43</v>
      </c>
      <c r="B433" s="71" t="s">
        <v>894</v>
      </c>
      <c r="C433" s="72" t="n">
        <f aca="false">Cap_10!B134</f>
        <v>180000</v>
      </c>
      <c r="D433" s="72" t="n">
        <f aca="false">Cap_10!D134</f>
        <v>180000</v>
      </c>
      <c r="E433" s="73" t="str">
        <f aca="false">Cap_10!E134</f>
        <v>OK</v>
      </c>
    </row>
    <row r="434" customFormat="false" ht="15" hidden="false" customHeight="true" outlineLevel="0" collapsed="false">
      <c r="A434" s="71" t="s">
        <v>43</v>
      </c>
      <c r="B434" s="71" t="s">
        <v>897</v>
      </c>
      <c r="C434" s="72" t="n">
        <f aca="false">Cap_10!B137</f>
        <v>150000</v>
      </c>
      <c r="D434" s="72" t="n">
        <f aca="false">Cap_10!D137</f>
        <v>150000</v>
      </c>
      <c r="E434" s="73" t="str">
        <f aca="false">Cap_10!E137</f>
        <v>OK</v>
      </c>
    </row>
    <row r="435" customFormat="false" ht="15" hidden="false" customHeight="true" outlineLevel="0" collapsed="false">
      <c r="A435" s="71" t="s">
        <v>43</v>
      </c>
      <c r="B435" s="71" t="s">
        <v>831</v>
      </c>
      <c r="C435" s="72" t="n">
        <f aca="false">Cap_10!B138</f>
        <v>570000</v>
      </c>
      <c r="D435" s="72" t="n">
        <f aca="false">Cap_10!D138</f>
        <v>570000</v>
      </c>
      <c r="E435" s="73" t="str">
        <f aca="false">Cap_10!E138</f>
        <v>OK</v>
      </c>
    </row>
    <row r="436" customFormat="false" ht="15" hidden="false" customHeight="true" outlineLevel="0" collapsed="false">
      <c r="A436" s="71" t="s">
        <v>43</v>
      </c>
      <c r="B436" s="71" t="s">
        <v>898</v>
      </c>
      <c r="C436" s="72" t="n">
        <f aca="false">Cap_10!B139</f>
        <v>0</v>
      </c>
      <c r="D436" s="72" t="n">
        <f aca="false">Cap_10!D139</f>
        <v>0</v>
      </c>
      <c r="E436" s="73" t="str">
        <f aca="false">Cap_10!E139</f>
        <v>OK</v>
      </c>
    </row>
    <row r="437" customFormat="false" ht="15" hidden="false" customHeight="true" outlineLevel="0" collapsed="false">
      <c r="A437" s="71" t="s">
        <v>43</v>
      </c>
      <c r="B437" s="71" t="s">
        <v>899</v>
      </c>
      <c r="C437" s="72" t="n">
        <f aca="false">Cap_10!B140</f>
        <v>250000</v>
      </c>
      <c r="D437" s="72" t="n">
        <f aca="false">Cap_10!D140</f>
        <v>250000</v>
      </c>
      <c r="E437" s="73" t="str">
        <f aca="false">Cap_10!E140</f>
        <v>OK</v>
      </c>
    </row>
    <row r="438" customFormat="false" ht="15" hidden="false" customHeight="true" outlineLevel="0" collapsed="false">
      <c r="A438" s="71" t="s">
        <v>43</v>
      </c>
      <c r="B438" s="71" t="s">
        <v>900</v>
      </c>
      <c r="C438" s="72" t="n">
        <f aca="false">Cap_10!B141</f>
        <v>820000</v>
      </c>
      <c r="D438" s="72" t="n">
        <f aca="false">Cap_10!D141</f>
        <v>820000</v>
      </c>
      <c r="E438" s="73" t="str">
        <f aca="false">Cap_10!E141</f>
        <v>OK</v>
      </c>
    </row>
    <row r="439" customFormat="false" ht="15" hidden="false" customHeight="true" outlineLevel="0" collapsed="false">
      <c r="A439" s="71" t="s">
        <v>43</v>
      </c>
      <c r="B439" s="71" t="s">
        <v>905</v>
      </c>
      <c r="C439" s="72" t="n">
        <f aca="false">Cap_10!B149</f>
        <v>20</v>
      </c>
      <c r="D439" s="72" t="n">
        <f aca="false">Cap_10!D149</f>
        <v>20</v>
      </c>
      <c r="E439" s="73" t="str">
        <f aca="false">Cap_10!E149</f>
        <v>OK</v>
      </c>
    </row>
    <row r="440" customFormat="false" ht="15" hidden="false" customHeight="true" outlineLevel="0" collapsed="false">
      <c r="A440" s="71" t="s">
        <v>43</v>
      </c>
      <c r="B440" s="71" t="s">
        <v>906</v>
      </c>
      <c r="C440" s="72" t="n">
        <f aca="false">Cap_10!B150</f>
        <v>30</v>
      </c>
      <c r="D440" s="72" t="n">
        <f aca="false">Cap_10!D150</f>
        <v>30</v>
      </c>
      <c r="E440" s="73" t="str">
        <f aca="false">Cap_10!E150</f>
        <v>OK</v>
      </c>
    </row>
    <row r="441" customFormat="false" ht="15" hidden="false" customHeight="true" outlineLevel="0" collapsed="false">
      <c r="A441" s="71" t="s">
        <v>43</v>
      </c>
      <c r="B441" s="71" t="s">
        <v>908</v>
      </c>
      <c r="C441" s="72" t="n">
        <f aca="false">Cap_10!B151</f>
        <v>20</v>
      </c>
      <c r="D441" s="72" t="n">
        <f aca="false">Cap_10!D151</f>
        <v>20</v>
      </c>
      <c r="E441" s="73" t="str">
        <f aca="false">Cap_10!E151</f>
        <v>OK</v>
      </c>
    </row>
    <row r="442" customFormat="false" ht="15" hidden="false" customHeight="true" outlineLevel="0" collapsed="false">
      <c r="A442" s="71" t="s">
        <v>43</v>
      </c>
      <c r="B442" s="71" t="s">
        <v>914</v>
      </c>
      <c r="C442" s="72" t="n">
        <f aca="false">Cap_10!B158</f>
        <v>2166000</v>
      </c>
      <c r="D442" s="72" t="n">
        <f aca="false">Cap_10!D158</f>
        <v>2166000</v>
      </c>
      <c r="E442" s="73" t="str">
        <f aca="false">Cap_10!E158</f>
        <v>OK</v>
      </c>
    </row>
    <row r="443" customFormat="false" ht="15" hidden="false" customHeight="true" outlineLevel="0" collapsed="false">
      <c r="A443" s="71" t="s">
        <v>43</v>
      </c>
      <c r="B443" s="71" t="s">
        <v>918</v>
      </c>
      <c r="C443" s="72" t="n">
        <f aca="false">Cap_10!B162</f>
        <v>6000</v>
      </c>
      <c r="D443" s="72" t="n">
        <f aca="false">Cap_10!D162</f>
        <v>6000</v>
      </c>
      <c r="E443" s="73" t="str">
        <f aca="false">Cap_10!E162</f>
        <v>OK</v>
      </c>
    </row>
    <row r="444" customFormat="false" ht="15" hidden="false" customHeight="true" outlineLevel="0" collapsed="false">
      <c r="A444" s="71" t="s">
        <v>43</v>
      </c>
      <c r="B444" s="71" t="s">
        <v>919</v>
      </c>
      <c r="C444" s="72" t="n">
        <f aca="false">Cap_10!B163</f>
        <v>2400</v>
      </c>
      <c r="D444" s="72" t="n">
        <f aca="false">Cap_10!D163</f>
        <v>2400</v>
      </c>
      <c r="E444" s="73" t="str">
        <f aca="false">Cap_10!E163</f>
        <v>OK</v>
      </c>
    </row>
    <row r="445" customFormat="false" ht="15" hidden="false" customHeight="true" outlineLevel="0" collapsed="false">
      <c r="A445" s="71" t="s">
        <v>43</v>
      </c>
      <c r="B445" s="71" t="s">
        <v>920</v>
      </c>
      <c r="C445" s="72" t="n">
        <f aca="false">Cap_10!B164</f>
        <v>2250</v>
      </c>
      <c r="D445" s="72" t="n">
        <f aca="false">Cap_10!D164</f>
        <v>2250</v>
      </c>
      <c r="E445" s="73" t="str">
        <f aca="false">Cap_10!E164</f>
        <v>OK</v>
      </c>
    </row>
    <row r="446" customFormat="false" ht="15" hidden="false" customHeight="true" outlineLevel="0" collapsed="false">
      <c r="A446" s="71" t="s">
        <v>43</v>
      </c>
      <c r="B446" s="71" t="s">
        <v>921</v>
      </c>
      <c r="C446" s="72" t="n">
        <f aca="false">Cap_10!B165</f>
        <v>205375.073833432</v>
      </c>
      <c r="D446" s="72" t="n">
        <f aca="false">Cap_10!D165</f>
        <v>205375</v>
      </c>
      <c r="E446" s="73" t="str">
        <f aca="false">Cap_10!E165</f>
        <v>OK</v>
      </c>
    </row>
    <row r="447" customFormat="false" ht="15" hidden="false" customHeight="true" outlineLevel="0" collapsed="false">
      <c r="A447" s="71" t="s">
        <v>43</v>
      </c>
      <c r="B447" s="71" t="s">
        <v>922</v>
      </c>
      <c r="C447" s="72" t="n">
        <f aca="false">Cap_10!B166</f>
        <v>364624.926166568</v>
      </c>
      <c r="D447" s="72" t="n">
        <f aca="false">Cap_10!D166</f>
        <v>364625</v>
      </c>
      <c r="E447" s="73" t="str">
        <f aca="false">Cap_10!E166</f>
        <v>OK</v>
      </c>
    </row>
    <row r="448" customFormat="false" ht="15" hidden="false" customHeight="true" outlineLevel="0" collapsed="false">
      <c r="A448" s="71" t="s">
        <v>43</v>
      </c>
      <c r="B448" s="71" t="s">
        <v>923</v>
      </c>
      <c r="C448" s="72" t="n">
        <f aca="false">Cap_10!B167</f>
        <v>333000</v>
      </c>
      <c r="D448" s="72" t="n">
        <f aca="false">Cap_10!D167</f>
        <v>333000</v>
      </c>
      <c r="E448" s="73" t="str">
        <f aca="false">Cap_10!E167</f>
        <v>OK</v>
      </c>
    </row>
    <row r="449" customFormat="false" ht="15" hidden="false" customHeight="true" outlineLevel="0" collapsed="false">
      <c r="A449" s="71" t="s">
        <v>43</v>
      </c>
      <c r="B449" s="71" t="s">
        <v>924</v>
      </c>
      <c r="C449" s="72" t="n">
        <f aca="false">Cap_10!B168</f>
        <v>237000</v>
      </c>
      <c r="D449" s="72" t="n">
        <f aca="false">Cap_10!D168</f>
        <v>237000</v>
      </c>
      <c r="E449" s="73" t="str">
        <f aca="false">Cap_10!E168</f>
        <v>OK</v>
      </c>
    </row>
    <row r="450" customFormat="false" ht="15" hidden="false" customHeight="true" outlineLevel="0" collapsed="false">
      <c r="A450" s="71" t="s">
        <v>43</v>
      </c>
      <c r="B450" s="71" t="s">
        <v>925</v>
      </c>
      <c r="C450" s="72" t="n">
        <f aca="false">Cap_10!B169</f>
        <v>570000</v>
      </c>
      <c r="D450" s="72" t="n">
        <f aca="false">Cap_10!D169</f>
        <v>570000</v>
      </c>
      <c r="E450" s="73" t="str">
        <f aca="false">Cap_10!E169</f>
        <v>OK</v>
      </c>
    </row>
    <row r="451" customFormat="false" ht="15" hidden="false" customHeight="true" outlineLevel="0" collapsed="false">
      <c r="A451" s="71" t="s">
        <v>43</v>
      </c>
      <c r="B451" s="71" t="s">
        <v>926</v>
      </c>
      <c r="C451" s="72" t="n">
        <f aca="false">Cap_10!B170</f>
        <v>127624.926166568</v>
      </c>
      <c r="D451" s="72" t="n">
        <f aca="false">Cap_10!D170</f>
        <v>127625</v>
      </c>
      <c r="E451" s="73" t="str">
        <f aca="false">Cap_10!E170</f>
        <v>OK</v>
      </c>
    </row>
    <row r="452" customFormat="false" ht="15" hidden="false" customHeight="true" outlineLevel="0" collapsed="false">
      <c r="A452" s="71" t="s">
        <v>43</v>
      </c>
      <c r="B452" s="71" t="s">
        <v>927</v>
      </c>
      <c r="C452" s="72" t="n">
        <f aca="false">Cap_10!B171</f>
        <v>-127624.926166568</v>
      </c>
      <c r="D452" s="72" t="n">
        <f aca="false">Cap_10!D171</f>
        <v>-127625</v>
      </c>
      <c r="E452" s="73" t="str">
        <f aca="false">Cap_10!E171</f>
        <v>OK</v>
      </c>
    </row>
    <row r="453" customFormat="false" ht="15" hidden="false" customHeight="true" outlineLevel="0" collapsed="false">
      <c r="A453" s="71" t="s">
        <v>43</v>
      </c>
      <c r="B453" s="71" t="s">
        <v>887</v>
      </c>
      <c r="C453" s="72" t="n">
        <f aca="false">Cap_10!B172</f>
        <v>0</v>
      </c>
      <c r="D453" s="72" t="n">
        <f aca="false">Cap_10!D172</f>
        <v>0</v>
      </c>
      <c r="E453" s="73" t="str">
        <f aca="false">Cap_10!E172</f>
        <v>OK</v>
      </c>
    </row>
    <row r="454" customFormat="false" ht="15" hidden="false" customHeight="true" outlineLevel="0" collapsed="false">
      <c r="A454" s="71" t="s">
        <v>43</v>
      </c>
      <c r="B454" s="71" t="s">
        <v>930</v>
      </c>
      <c r="C454" s="76" t="n">
        <f aca="false">Cap_10!B177</f>
        <v>0.360307147076196</v>
      </c>
      <c r="D454" s="76" t="n">
        <f aca="false">Cap_10!D177</f>
        <v>0.36</v>
      </c>
      <c r="E454" s="73" t="str">
        <f aca="false">Cap_10!E177</f>
        <v>OK</v>
      </c>
    </row>
    <row r="455" customFormat="false" ht="15" hidden="false" customHeight="true" outlineLevel="0" collapsed="false">
      <c r="A455" s="71" t="s">
        <v>43</v>
      </c>
      <c r="B455" s="71" t="s">
        <v>931</v>
      </c>
      <c r="C455" s="76" t="n">
        <f aca="false">Cap_10!B178</f>
        <v>0.5</v>
      </c>
      <c r="D455" s="76" t="n">
        <f aca="false">Cap_10!D178</f>
        <v>0.5</v>
      </c>
      <c r="E455" s="73" t="str">
        <f aca="false">Cap_10!E178</f>
        <v>OK</v>
      </c>
    </row>
    <row r="456" customFormat="false" ht="15" hidden="false" customHeight="true" outlineLevel="0" collapsed="false">
      <c r="A456" s="71" t="s">
        <v>43</v>
      </c>
      <c r="B456" s="71" t="s">
        <v>932</v>
      </c>
      <c r="C456" s="76" t="n">
        <f aca="false">Cap_10!B179</f>
        <v>0.6</v>
      </c>
      <c r="D456" s="76" t="n">
        <f aca="false">Cap_10!D179</f>
        <v>0.6</v>
      </c>
      <c r="E456" s="73" t="str">
        <f aca="false">Cap_10!E179</f>
        <v>OK</v>
      </c>
    </row>
    <row r="457" customFormat="false" ht="15" hidden="false" customHeight="true" outlineLevel="0" collapsed="false">
      <c r="A457" s="71" t="s">
        <v>43</v>
      </c>
      <c r="B457" s="71" t="s">
        <v>933</v>
      </c>
      <c r="C457" s="76" t="n">
        <f aca="false">Cap_10!B180</f>
        <v>0.7</v>
      </c>
      <c r="D457" s="76" t="n">
        <f aca="false">Cap_10!D180</f>
        <v>0.7</v>
      </c>
      <c r="E457" s="73" t="str">
        <f aca="false">Cap_10!E180</f>
        <v>OK</v>
      </c>
    </row>
    <row r="458" customFormat="false" ht="15" hidden="false" customHeight="true" outlineLevel="0" collapsed="false">
      <c r="A458" s="71" t="s">
        <v>43</v>
      </c>
      <c r="B458" s="71" t="s">
        <v>934</v>
      </c>
      <c r="C458" s="72" t="n">
        <f aca="false">Cap_10!B181</f>
        <v>203.333333333333</v>
      </c>
      <c r="D458" s="72" t="n">
        <f aca="false">Cap_10!D181</f>
        <v>203</v>
      </c>
      <c r="E458" s="73" t="str">
        <f aca="false">Cap_10!E181</f>
        <v>OK</v>
      </c>
    </row>
    <row r="459" customFormat="false" ht="15" hidden="false" customHeight="true" outlineLevel="0" collapsed="false">
      <c r="A459" s="71" t="s">
        <v>43</v>
      </c>
      <c r="B459" s="71" t="s">
        <v>935</v>
      </c>
      <c r="C459" s="72" t="n">
        <f aca="false">Cap_10!B182</f>
        <v>361</v>
      </c>
      <c r="D459" s="72" t="n">
        <f aca="false">Cap_10!D182</f>
        <v>361</v>
      </c>
      <c r="E459" s="73" t="str">
        <f aca="false">Cap_10!E182</f>
        <v>OK</v>
      </c>
    </row>
    <row r="460" customFormat="false" ht="15" hidden="false" customHeight="true" outlineLevel="0" collapsed="false">
      <c r="A460" s="71" t="s">
        <v>46</v>
      </c>
      <c r="B460" s="71" t="s">
        <v>946</v>
      </c>
      <c r="C460" s="72" t="n">
        <f aca="false">Cap_11!B18</f>
        <v>240000</v>
      </c>
      <c r="D460" s="72" t="n">
        <f aca="false">Cap_11!D18</f>
        <v>240000</v>
      </c>
      <c r="E460" s="73" t="str">
        <f aca="false">Cap_11!E18</f>
        <v>OK</v>
      </c>
    </row>
    <row r="461" customFormat="false" ht="15" hidden="false" customHeight="true" outlineLevel="0" collapsed="false">
      <c r="A461" s="71" t="s">
        <v>46</v>
      </c>
      <c r="B461" s="71" t="s">
        <v>947</v>
      </c>
      <c r="C461" s="72" t="n">
        <f aca="false">Cap_11!B19</f>
        <v>23</v>
      </c>
      <c r="D461" s="72" t="n">
        <f aca="false">Cap_11!D19</f>
        <v>23</v>
      </c>
      <c r="E461" s="73" t="str">
        <f aca="false">Cap_11!E19</f>
        <v>OK</v>
      </c>
    </row>
    <row r="462" customFormat="false" ht="15" hidden="false" customHeight="true" outlineLevel="0" collapsed="false">
      <c r="A462" s="71" t="s">
        <v>46</v>
      </c>
      <c r="B462" s="71" t="s">
        <v>948</v>
      </c>
      <c r="C462" s="72" t="n">
        <f aca="false">Cap_11!B20</f>
        <v>7</v>
      </c>
      <c r="D462" s="72" t="n">
        <f aca="false">Cap_11!D20</f>
        <v>7</v>
      </c>
      <c r="E462" s="73" t="str">
        <f aca="false">Cap_11!E20</f>
        <v>OK</v>
      </c>
    </row>
    <row r="463" customFormat="false" ht="15" hidden="false" customHeight="true" outlineLevel="0" collapsed="false">
      <c r="A463" s="71" t="s">
        <v>46</v>
      </c>
      <c r="B463" s="71" t="s">
        <v>949</v>
      </c>
      <c r="C463" s="72" t="n">
        <f aca="false">Cap_11!B21</f>
        <v>0</v>
      </c>
      <c r="D463" s="72" t="n">
        <f aca="false">Cap_11!D21</f>
        <v>0</v>
      </c>
      <c r="E463" s="73" t="str">
        <f aca="false">Cap_11!E21</f>
        <v>OK</v>
      </c>
    </row>
    <row r="464" customFormat="false" ht="15" hidden="false" customHeight="true" outlineLevel="0" collapsed="false">
      <c r="A464" s="71" t="s">
        <v>46</v>
      </c>
      <c r="B464" s="71" t="s">
        <v>950</v>
      </c>
      <c r="C464" s="72" t="n">
        <f aca="false">Cap_11!B22</f>
        <v>118000</v>
      </c>
      <c r="D464" s="72" t="n">
        <f aca="false">Cap_11!D22</f>
        <v>118000</v>
      </c>
      <c r="E464" s="73" t="str">
        <f aca="false">Cap_11!E22</f>
        <v>OK</v>
      </c>
    </row>
    <row r="465" customFormat="false" ht="15" hidden="false" customHeight="true" outlineLevel="0" collapsed="false">
      <c r="A465" s="71" t="s">
        <v>46</v>
      </c>
      <c r="B465" s="71" t="s">
        <v>960</v>
      </c>
      <c r="C465" s="72" t="n">
        <f aca="false">Cap_11!B33</f>
        <v>26000</v>
      </c>
      <c r="D465" s="72" t="n">
        <f aca="false">Cap_11!D33</f>
        <v>26000</v>
      </c>
      <c r="E465" s="73" t="str">
        <f aca="false">Cap_11!E33</f>
        <v>OK</v>
      </c>
    </row>
    <row r="466" customFormat="false" ht="15" hidden="false" customHeight="true" outlineLevel="0" collapsed="false">
      <c r="A466" s="71" t="s">
        <v>46</v>
      </c>
      <c r="B466" s="71" t="s">
        <v>961</v>
      </c>
      <c r="C466" s="72" t="n">
        <f aca="false">Cap_11!B34</f>
        <v>58000</v>
      </c>
      <c r="D466" s="72" t="n">
        <f aca="false">Cap_11!D34</f>
        <v>58000</v>
      </c>
      <c r="E466" s="73" t="str">
        <f aca="false">Cap_11!E34</f>
        <v>OK</v>
      </c>
    </row>
    <row r="467" customFormat="false" ht="15" hidden="false" customHeight="true" outlineLevel="0" collapsed="false">
      <c r="A467" s="71" t="s">
        <v>46</v>
      </c>
      <c r="B467" s="71" t="s">
        <v>962</v>
      </c>
      <c r="C467" s="76" t="n">
        <f aca="false">Cap_11!B35</f>
        <v>0.241666666666667</v>
      </c>
      <c r="D467" s="76" t="n">
        <f aca="false">Cap_11!D35</f>
        <v>0.242</v>
      </c>
      <c r="E467" s="73" t="str">
        <f aca="false">Cap_11!E35</f>
        <v>OK</v>
      </c>
    </row>
    <row r="468" customFormat="false" ht="15" hidden="false" customHeight="true" outlineLevel="0" collapsed="false">
      <c r="A468" s="71" t="s">
        <v>46</v>
      </c>
      <c r="B468" s="71" t="s">
        <v>966</v>
      </c>
      <c r="C468" s="72" t="n">
        <f aca="false">Cap_11!B39</f>
        <v>5600</v>
      </c>
      <c r="D468" s="72" t="n">
        <f aca="false">Cap_11!D39</f>
        <v>5600</v>
      </c>
      <c r="E468" s="73" t="str">
        <f aca="false">Cap_11!E39</f>
        <v>OK</v>
      </c>
    </row>
    <row r="469" customFormat="false" ht="15" hidden="false" customHeight="true" outlineLevel="0" collapsed="false">
      <c r="A469" s="71" t="s">
        <v>46</v>
      </c>
      <c r="B469" s="71" t="s">
        <v>967</v>
      </c>
      <c r="C469" s="72" t="n">
        <f aca="false">Cap_11!B40</f>
        <v>78400</v>
      </c>
      <c r="D469" s="72" t="n">
        <f aca="false">Cap_11!D40</f>
        <v>78400</v>
      </c>
      <c r="E469" s="73" t="str">
        <f aca="false">Cap_11!E40</f>
        <v>OK</v>
      </c>
    </row>
    <row r="470" customFormat="false" ht="15" hidden="false" customHeight="true" outlineLevel="0" collapsed="false">
      <c r="A470" s="71" t="s">
        <v>46</v>
      </c>
      <c r="B470" s="71" t="s">
        <v>968</v>
      </c>
      <c r="C470" s="76" t="n">
        <f aca="false">Cap_11!B41</f>
        <v>0.326666666666667</v>
      </c>
      <c r="D470" s="76" t="n">
        <f aca="false">Cap_11!D41</f>
        <v>0.327</v>
      </c>
      <c r="E470" s="73" t="str">
        <f aca="false">Cap_11!E41</f>
        <v>OK</v>
      </c>
    </row>
    <row r="471" customFormat="false" ht="15" hidden="false" customHeight="true" outlineLevel="0" collapsed="false">
      <c r="A471" s="71" t="s">
        <v>46</v>
      </c>
      <c r="B471" s="71" t="s">
        <v>973</v>
      </c>
      <c r="C471" s="72" t="n">
        <f aca="false">Cap_11!B48</f>
        <v>250</v>
      </c>
      <c r="D471" s="72" t="n">
        <f aca="false">Cap_11!D48</f>
        <v>250</v>
      </c>
      <c r="E471" s="73" t="str">
        <f aca="false">Cap_11!E48</f>
        <v>OK</v>
      </c>
    </row>
    <row r="472" customFormat="false" ht="15" hidden="false" customHeight="true" outlineLevel="0" collapsed="false">
      <c r="A472" s="71" t="s">
        <v>46</v>
      </c>
      <c r="B472" s="71" t="s">
        <v>974</v>
      </c>
      <c r="C472" s="72" t="n">
        <f aca="false">Cap_11!B49</f>
        <v>300</v>
      </c>
      <c r="D472" s="72" t="n">
        <f aca="false">Cap_11!D49</f>
        <v>300</v>
      </c>
      <c r="E472" s="73" t="str">
        <f aca="false">Cap_11!E49</f>
        <v>OK</v>
      </c>
    </row>
    <row r="473" customFormat="false" ht="15" hidden="false" customHeight="true" outlineLevel="0" collapsed="false">
      <c r="A473" s="71" t="s">
        <v>46</v>
      </c>
      <c r="B473" s="71" t="s">
        <v>975</v>
      </c>
      <c r="C473" s="72" t="n">
        <f aca="false">Cap_11!B50</f>
        <v>276</v>
      </c>
      <c r="D473" s="72" t="n">
        <f aca="false">Cap_11!D50</f>
        <v>276</v>
      </c>
      <c r="E473" s="73" t="str">
        <f aca="false">Cap_11!E50</f>
        <v>OK</v>
      </c>
    </row>
    <row r="474" customFormat="false" ht="15" hidden="false" customHeight="true" outlineLevel="0" collapsed="false">
      <c r="A474" s="71" t="s">
        <v>46</v>
      </c>
      <c r="B474" s="71" t="s">
        <v>976</v>
      </c>
      <c r="C474" s="72" t="n">
        <f aca="false">Cap_11!B51</f>
        <v>0</v>
      </c>
      <c r="D474" s="72" t="n">
        <f aca="false">Cap_11!D51</f>
        <v>0</v>
      </c>
      <c r="E474" s="73" t="str">
        <f aca="false">Cap_11!E51</f>
        <v>OK</v>
      </c>
    </row>
    <row r="475" customFormat="false" ht="15" hidden="false" customHeight="true" outlineLevel="0" collapsed="false">
      <c r="A475" s="71" t="s">
        <v>46</v>
      </c>
      <c r="B475" s="71" t="s">
        <v>977</v>
      </c>
      <c r="C475" s="72" t="n">
        <f aca="false">Cap_11!B52</f>
        <v>6000</v>
      </c>
      <c r="D475" s="72" t="n">
        <f aca="false">Cap_11!D52</f>
        <v>6000</v>
      </c>
      <c r="E475" s="73" t="str">
        <f aca="false">Cap_11!E52</f>
        <v>OK</v>
      </c>
    </row>
    <row r="476" customFormat="false" ht="15" hidden="false" customHeight="true" outlineLevel="0" collapsed="false">
      <c r="A476" s="71" t="s">
        <v>46</v>
      </c>
      <c r="B476" s="71" t="s">
        <v>978</v>
      </c>
      <c r="C476" s="72" t="n">
        <f aca="false">Cap_11!B53</f>
        <v>0</v>
      </c>
      <c r="D476" s="72" t="n">
        <f aca="false">Cap_11!D53</f>
        <v>0</v>
      </c>
      <c r="E476" s="73" t="str">
        <f aca="false">Cap_11!E53</f>
        <v>OK</v>
      </c>
    </row>
    <row r="477" customFormat="false" ht="15" hidden="false" customHeight="true" outlineLevel="0" collapsed="false">
      <c r="A477" s="71" t="s">
        <v>46</v>
      </c>
      <c r="B477" s="71" t="s">
        <v>979</v>
      </c>
      <c r="C477" s="72" t="n">
        <f aca="false">Cap_11!B54</f>
        <v>6000</v>
      </c>
      <c r="D477" s="72" t="n">
        <f aca="false">Cap_11!D54</f>
        <v>6000</v>
      </c>
      <c r="E477" s="73" t="str">
        <f aca="false">Cap_11!E54</f>
        <v>OK</v>
      </c>
    </row>
    <row r="478" customFormat="false" ht="15" hidden="false" customHeight="true" outlineLevel="0" collapsed="false">
      <c r="A478" s="71" t="s">
        <v>46</v>
      </c>
      <c r="B478" s="71" t="s">
        <v>980</v>
      </c>
      <c r="C478" s="72" t="n">
        <f aca="false">Cap_11!B55</f>
        <v>8280</v>
      </c>
      <c r="D478" s="72" t="n">
        <f aca="false">Cap_11!D55</f>
        <v>8280</v>
      </c>
      <c r="E478" s="73" t="str">
        <f aca="false">Cap_11!E55</f>
        <v>OK</v>
      </c>
    </row>
    <row r="479" customFormat="false" ht="15" hidden="false" customHeight="true" outlineLevel="0" collapsed="false">
      <c r="A479" s="71" t="s">
        <v>46</v>
      </c>
      <c r="B479" s="71" t="s">
        <v>981</v>
      </c>
      <c r="C479" s="72" t="n">
        <f aca="false">Cap_11!B56</f>
        <v>6348</v>
      </c>
      <c r="D479" s="72" t="n">
        <f aca="false">Cap_11!D56</f>
        <v>6348</v>
      </c>
      <c r="E479" s="73" t="str">
        <f aca="false">Cap_11!E56</f>
        <v>OK</v>
      </c>
    </row>
    <row r="480" customFormat="false" ht="15" hidden="false" customHeight="true" outlineLevel="0" collapsed="false">
      <c r="A480" s="71" t="s">
        <v>46</v>
      </c>
      <c r="B480" s="71" t="s">
        <v>982</v>
      </c>
      <c r="C480" s="72" t="n">
        <f aca="false">Cap_11!B57</f>
        <v>1932</v>
      </c>
      <c r="D480" s="72" t="n">
        <f aca="false">Cap_11!D57</f>
        <v>1932</v>
      </c>
      <c r="E480" s="73" t="str">
        <f aca="false">Cap_11!E57</f>
        <v>OK</v>
      </c>
    </row>
    <row r="481" customFormat="false" ht="15" hidden="false" customHeight="true" outlineLevel="0" collapsed="false">
      <c r="A481" s="71" t="s">
        <v>46</v>
      </c>
      <c r="B481" s="71" t="s">
        <v>983</v>
      </c>
      <c r="C481" s="72" t="n">
        <f aca="false">Cap_11!B58</f>
        <v>0</v>
      </c>
      <c r="D481" s="72" t="n">
        <f aca="false">Cap_11!D58</f>
        <v>0</v>
      </c>
      <c r="E481" s="73" t="str">
        <f aca="false">Cap_11!E58</f>
        <v>OK</v>
      </c>
    </row>
    <row r="482" customFormat="false" ht="15" hidden="false" customHeight="true" outlineLevel="0" collapsed="false">
      <c r="A482" s="71" t="s">
        <v>46</v>
      </c>
      <c r="B482" s="71" t="s">
        <v>984</v>
      </c>
      <c r="C482" s="72" t="n">
        <f aca="false">Cap_11!B59</f>
        <v>0</v>
      </c>
      <c r="D482" s="72" t="n">
        <f aca="false">Cap_11!D59</f>
        <v>0</v>
      </c>
      <c r="E482" s="73" t="str">
        <f aca="false">Cap_11!E59</f>
        <v>OK</v>
      </c>
    </row>
    <row r="483" customFormat="false" ht="15" hidden="false" customHeight="true" outlineLevel="0" collapsed="false">
      <c r="A483" s="71" t="s">
        <v>46</v>
      </c>
      <c r="B483" s="71" t="s">
        <v>985</v>
      </c>
      <c r="C483" s="72" t="n">
        <f aca="false">Cap_11!B60</f>
        <v>0</v>
      </c>
      <c r="D483" s="72" t="n">
        <f aca="false">Cap_11!D60</f>
        <v>0</v>
      </c>
      <c r="E483" s="73" t="str">
        <f aca="false">Cap_11!E60</f>
        <v>OK</v>
      </c>
    </row>
    <row r="484" customFormat="false" ht="15" hidden="false" customHeight="true" outlineLevel="0" collapsed="false">
      <c r="A484" s="71" t="s">
        <v>46</v>
      </c>
      <c r="B484" s="71" t="s">
        <v>986</v>
      </c>
      <c r="C484" s="72" t="n">
        <f aca="false">Cap_11!B61</f>
        <v>14280</v>
      </c>
      <c r="D484" s="72" t="n">
        <f aca="false">Cap_11!D61</f>
        <v>14280</v>
      </c>
      <c r="E484" s="73" t="str">
        <f aca="false">Cap_11!E61</f>
        <v>OK</v>
      </c>
    </row>
    <row r="485" customFormat="false" ht="15" hidden="false" customHeight="true" outlineLevel="0" collapsed="false">
      <c r="A485" s="71" t="s">
        <v>46</v>
      </c>
      <c r="B485" s="71" t="s">
        <v>987</v>
      </c>
      <c r="C485" s="72" t="n">
        <f aca="false">Cap_11!B62</f>
        <v>6348</v>
      </c>
      <c r="D485" s="72" t="n">
        <f aca="false">Cap_11!D62</f>
        <v>6348</v>
      </c>
      <c r="E485" s="73" t="str">
        <f aca="false">Cap_11!E62</f>
        <v>OK</v>
      </c>
    </row>
    <row r="486" customFormat="false" ht="15" hidden="false" customHeight="true" outlineLevel="0" collapsed="false">
      <c r="A486" s="71" t="s">
        <v>46</v>
      </c>
      <c r="B486" s="71" t="s">
        <v>988</v>
      </c>
      <c r="C486" s="72" t="n">
        <f aca="false">Cap_11!B63</f>
        <v>7932</v>
      </c>
      <c r="D486" s="72" t="n">
        <f aca="false">Cap_11!D63</f>
        <v>7932</v>
      </c>
      <c r="E486" s="73" t="str">
        <f aca="false">Cap_11!E63</f>
        <v>OK</v>
      </c>
    </row>
    <row r="487" customFormat="false" ht="15" hidden="false" customHeight="true" outlineLevel="0" collapsed="false">
      <c r="A487" s="71" t="s">
        <v>46</v>
      </c>
      <c r="B487" s="71" t="s">
        <v>991</v>
      </c>
      <c r="C487" s="72" t="n">
        <f aca="false">Cap_11!B68</f>
        <v>11720</v>
      </c>
      <c r="D487" s="72" t="n">
        <f aca="false">Cap_11!D68</f>
        <v>11720</v>
      </c>
      <c r="E487" s="73" t="str">
        <f aca="false">Cap_11!E68</f>
        <v>OK</v>
      </c>
    </row>
    <row r="488" customFormat="false" ht="15" hidden="false" customHeight="true" outlineLevel="0" collapsed="false">
      <c r="A488" s="71" t="s">
        <v>46</v>
      </c>
      <c r="B488" s="71" t="s">
        <v>992</v>
      </c>
      <c r="C488" s="72" t="n">
        <f aca="false">Cap_11!B69</f>
        <v>72280</v>
      </c>
      <c r="D488" s="72" t="n">
        <f aca="false">Cap_11!D69</f>
        <v>72280</v>
      </c>
      <c r="E488" s="73" t="str">
        <f aca="false">Cap_11!E69</f>
        <v>OK</v>
      </c>
    </row>
    <row r="489" customFormat="false" ht="15" hidden="false" customHeight="true" outlineLevel="0" collapsed="false">
      <c r="A489" s="71" t="s">
        <v>46</v>
      </c>
      <c r="B489" s="71" t="s">
        <v>993</v>
      </c>
      <c r="C489" s="76" t="n">
        <f aca="false">Cap_11!B70</f>
        <v>0.301166666666667</v>
      </c>
      <c r="D489" s="76" t="n">
        <f aca="false">Cap_11!D70</f>
        <v>0.301</v>
      </c>
      <c r="E489" s="73" t="str">
        <f aca="false">Cap_11!E70</f>
        <v>OK</v>
      </c>
    </row>
    <row r="490" customFormat="false" ht="15" hidden="false" customHeight="true" outlineLevel="0" collapsed="false">
      <c r="A490" s="71" t="s">
        <v>46</v>
      </c>
      <c r="B490" s="71" t="s">
        <v>994</v>
      </c>
      <c r="C490" s="72" t="n">
        <f aca="false">Cap_11!B71</f>
        <v>6348</v>
      </c>
      <c r="D490" s="72" t="n">
        <f aca="false">Cap_11!D71</f>
        <v>6348</v>
      </c>
      <c r="E490" s="73" t="str">
        <f aca="false">Cap_11!E71</f>
        <v>OK</v>
      </c>
    </row>
    <row r="491" customFormat="false" ht="15" hidden="false" customHeight="true" outlineLevel="0" collapsed="false">
      <c r="A491" s="71" t="s">
        <v>46</v>
      </c>
      <c r="B491" s="71" t="s">
        <v>995</v>
      </c>
      <c r="C491" s="72" t="n">
        <f aca="false">Cap_11!B72</f>
        <v>7932</v>
      </c>
      <c r="D491" s="72" t="n">
        <f aca="false">Cap_11!D72</f>
        <v>7932</v>
      </c>
      <c r="E491" s="73" t="str">
        <f aca="false">Cap_11!E72</f>
        <v>OK</v>
      </c>
    </row>
    <row r="492" customFormat="false" ht="15" hidden="false" customHeight="true" outlineLevel="0" collapsed="false">
      <c r="A492" s="71" t="s">
        <v>50</v>
      </c>
      <c r="B492" s="71" t="s">
        <v>999</v>
      </c>
      <c r="C492" s="72" t="n">
        <f aca="false">Cap_12!B9</f>
        <v>242000</v>
      </c>
      <c r="D492" s="72" t="n">
        <f aca="false">Cap_12!D9</f>
        <v>242000</v>
      </c>
      <c r="E492" s="73" t="str">
        <f aca="false">Cap_12!E9</f>
        <v>OK</v>
      </c>
    </row>
    <row r="493" customFormat="false" ht="15" hidden="false" customHeight="true" outlineLevel="0" collapsed="false">
      <c r="A493" s="71" t="s">
        <v>50</v>
      </c>
      <c r="B493" s="71" t="s">
        <v>1001</v>
      </c>
      <c r="C493" s="72" t="n">
        <f aca="false">Cap_12!B10</f>
        <v>63</v>
      </c>
      <c r="D493" s="72" t="n">
        <f aca="false">Cap_12!D10</f>
        <v>63</v>
      </c>
      <c r="E493" s="73" t="str">
        <f aca="false">Cap_12!E10</f>
        <v>OK</v>
      </c>
    </row>
    <row r="494" customFormat="false" ht="15" hidden="false" customHeight="true" outlineLevel="0" collapsed="false">
      <c r="A494" s="71" t="s">
        <v>50</v>
      </c>
      <c r="B494" s="71" t="s">
        <v>1003</v>
      </c>
      <c r="C494" s="72" t="n">
        <f aca="false">Cap_12!B11</f>
        <v>38</v>
      </c>
      <c r="D494" s="72" t="n">
        <f aca="false">Cap_12!D11</f>
        <v>38</v>
      </c>
      <c r="E494" s="73" t="str">
        <f aca="false">Cap_12!E11</f>
        <v>OK</v>
      </c>
    </row>
    <row r="495" customFormat="false" ht="15" hidden="false" customHeight="true" outlineLevel="0" collapsed="false">
      <c r="A495" s="71" t="s">
        <v>50</v>
      </c>
      <c r="B495" s="71" t="s">
        <v>1004</v>
      </c>
      <c r="C495" s="72" t="n">
        <f aca="false">Cap_12!B12</f>
        <v>51</v>
      </c>
      <c r="D495" s="72" t="n">
        <f aca="false">Cap_12!D12</f>
        <v>51</v>
      </c>
      <c r="E495" s="73" t="str">
        <f aca="false">Cap_12!E12</f>
        <v>OK</v>
      </c>
    </row>
    <row r="496" customFormat="false" ht="15" hidden="false" customHeight="true" outlineLevel="0" collapsed="false">
      <c r="A496" s="71" t="s">
        <v>50</v>
      </c>
      <c r="B496" s="71" t="s">
        <v>1007</v>
      </c>
      <c r="C496" s="72" t="n">
        <f aca="false">Cap_12!B17</f>
        <v>8000</v>
      </c>
      <c r="D496" s="72" t="n">
        <f aca="false">Cap_12!D17</f>
        <v>8000</v>
      </c>
      <c r="E496" s="73" t="str">
        <f aca="false">Cap_12!E17</f>
        <v>OK</v>
      </c>
    </row>
    <row r="497" customFormat="false" ht="15" hidden="false" customHeight="true" outlineLevel="0" collapsed="false">
      <c r="A497" s="71" t="s">
        <v>50</v>
      </c>
      <c r="B497" s="71" t="s">
        <v>1008</v>
      </c>
      <c r="C497" s="72" t="n">
        <f aca="false">Cap_12!B18</f>
        <v>180</v>
      </c>
      <c r="D497" s="72" t="n">
        <f aca="false">Cap_12!D18</f>
        <v>180</v>
      </c>
      <c r="E497" s="73" t="str">
        <f aca="false">Cap_12!E18</f>
        <v>OK</v>
      </c>
    </row>
    <row r="498" customFormat="false" ht="15" hidden="false" customHeight="true" outlineLevel="0" collapsed="false">
      <c r="A498" s="71" t="s">
        <v>50</v>
      </c>
      <c r="B498" s="71" t="s">
        <v>1012</v>
      </c>
      <c r="C498" s="72" t="n">
        <f aca="false">Cap_12!B22</f>
        <v>289</v>
      </c>
      <c r="D498" s="72" t="n">
        <f aca="false">Cap_12!D22</f>
        <v>289</v>
      </c>
      <c r="E498" s="73" t="str">
        <f aca="false">Cap_12!E22</f>
        <v>OK</v>
      </c>
    </row>
    <row r="499" customFormat="false" ht="15" hidden="false" customHeight="true" outlineLevel="0" collapsed="false">
      <c r="A499" s="71" t="s">
        <v>50</v>
      </c>
      <c r="B499" s="71" t="s">
        <v>1015</v>
      </c>
      <c r="C499" s="72" t="n">
        <f aca="false">Cap_12!B27</f>
        <v>21500</v>
      </c>
      <c r="D499" s="72" t="n">
        <f aca="false">Cap_12!D27</f>
        <v>21500</v>
      </c>
      <c r="E499" s="73" t="str">
        <f aca="false">Cap_12!E27</f>
        <v>OK</v>
      </c>
    </row>
    <row r="500" customFormat="false" ht="15" hidden="false" customHeight="true" outlineLevel="0" collapsed="false">
      <c r="A500" s="71" t="s">
        <v>50</v>
      </c>
      <c r="B500" s="71" t="s">
        <v>1017</v>
      </c>
      <c r="C500" s="72" t="n">
        <f aca="false">Cap_12!B28</f>
        <v>3392100</v>
      </c>
      <c r="D500" s="72" t="n">
        <f aca="false">Cap_12!D28</f>
        <v>3392100</v>
      </c>
      <c r="E500" s="73" t="str">
        <f aca="false">Cap_12!E28</f>
        <v>OK</v>
      </c>
    </row>
    <row r="501" customFormat="false" ht="15" hidden="false" customHeight="true" outlineLevel="0" collapsed="false">
      <c r="A501" s="71" t="s">
        <v>50</v>
      </c>
      <c r="B501" s="71" t="s">
        <v>1019</v>
      </c>
      <c r="C501" s="72" t="n">
        <f aca="false">Cap_12!B30</f>
        <v>1089900</v>
      </c>
      <c r="D501" s="72" t="n">
        <f aca="false">Cap_12!D30</f>
        <v>1089900</v>
      </c>
      <c r="E501" s="73" t="str">
        <f aca="false">Cap_12!E30</f>
        <v>OK</v>
      </c>
    </row>
    <row r="502" customFormat="false" ht="15" hidden="false" customHeight="true" outlineLevel="0" collapsed="false">
      <c r="A502" s="71" t="s">
        <v>50</v>
      </c>
      <c r="B502" s="71" t="s">
        <v>1020</v>
      </c>
      <c r="C502" s="72" t="n">
        <f aca="false">Cap_12!B31</f>
        <v>24000</v>
      </c>
      <c r="D502" s="72" t="n">
        <f aca="false">Cap_12!D31</f>
        <v>24000</v>
      </c>
      <c r="E502" s="73" t="str">
        <f aca="false">Cap_12!E31</f>
        <v>OK</v>
      </c>
    </row>
    <row r="503" customFormat="false" ht="15" hidden="false" customHeight="true" outlineLevel="0" collapsed="false">
      <c r="A503" s="71" t="s">
        <v>50</v>
      </c>
      <c r="B503" s="71" t="s">
        <v>156</v>
      </c>
      <c r="C503" s="72" t="n">
        <f aca="false">Cap_12!B32</f>
        <v>3000</v>
      </c>
      <c r="D503" s="72" t="n">
        <f aca="false">Cap_12!D32</f>
        <v>3000</v>
      </c>
      <c r="E503" s="73" t="str">
        <f aca="false">Cap_12!E32</f>
        <v>OK</v>
      </c>
    </row>
    <row r="504" customFormat="false" ht="15" hidden="false" customHeight="true" outlineLevel="0" collapsed="false">
      <c r="A504" s="71" t="s">
        <v>50</v>
      </c>
      <c r="B504" s="71" t="s">
        <v>157</v>
      </c>
      <c r="C504" s="72" t="n">
        <f aca="false">Cap_12!B33</f>
        <v>84000</v>
      </c>
      <c r="D504" s="72" t="n">
        <f aca="false">Cap_12!D33</f>
        <v>84000</v>
      </c>
      <c r="E504" s="73" t="str">
        <f aca="false">Cap_12!E33</f>
        <v>OK</v>
      </c>
    </row>
    <row r="505" customFormat="false" ht="15" hidden="false" customHeight="true" outlineLevel="0" collapsed="false">
      <c r="A505" s="71" t="s">
        <v>50</v>
      </c>
      <c r="B505" s="71" t="s">
        <v>1022</v>
      </c>
      <c r="C505" s="72" t="n">
        <f aca="false">Cap_12!B34</f>
        <v>820000</v>
      </c>
      <c r="D505" s="72" t="n">
        <f aca="false">Cap_12!D34</f>
        <v>820000</v>
      </c>
      <c r="E505" s="73" t="str">
        <f aca="false">Cap_12!E34</f>
        <v>OK</v>
      </c>
    </row>
    <row r="506" customFormat="false" ht="15" hidden="false" customHeight="true" outlineLevel="0" collapsed="false">
      <c r="A506" s="71" t="s">
        <v>50</v>
      </c>
      <c r="B506" s="71" t="s">
        <v>1023</v>
      </c>
      <c r="C506" s="72" t="n">
        <f aca="false">Cap_12!B35</f>
        <v>269900</v>
      </c>
      <c r="D506" s="72" t="n">
        <f aca="false">Cap_12!D35</f>
        <v>269900</v>
      </c>
      <c r="E506" s="73" t="str">
        <f aca="false">Cap_12!E35</f>
        <v>OK</v>
      </c>
    </row>
    <row r="507" customFormat="false" ht="15" hidden="false" customHeight="true" outlineLevel="0" collapsed="false">
      <c r="A507" s="71" t="s">
        <v>50</v>
      </c>
      <c r="B507" s="71" t="s">
        <v>1024</v>
      </c>
      <c r="C507" s="72" t="n">
        <f aca="false">Cap_12!B36</f>
        <v>27900</v>
      </c>
      <c r="D507" s="72" t="n">
        <f aca="false">Cap_12!D36</f>
        <v>27900</v>
      </c>
      <c r="E507" s="73" t="str">
        <f aca="false">Cap_12!E36</f>
        <v>OK</v>
      </c>
    </row>
    <row r="508" customFormat="false" ht="15" hidden="false" customHeight="true" outlineLevel="0" collapsed="false">
      <c r="A508" s="71" t="s">
        <v>50</v>
      </c>
      <c r="B508" s="71" t="s">
        <v>1027</v>
      </c>
      <c r="C508" s="72" t="n">
        <f aca="false">Cap_12!B41</f>
        <v>-22800</v>
      </c>
      <c r="D508" s="72" t="n">
        <f aca="false">Cap_12!D41</f>
        <v>-22800</v>
      </c>
      <c r="E508" s="73" t="str">
        <f aca="false">Cap_12!E41</f>
        <v>OK</v>
      </c>
    </row>
    <row r="509" customFormat="false" ht="15" hidden="false" customHeight="true" outlineLevel="0" collapsed="false">
      <c r="A509" s="71" t="s">
        <v>50</v>
      </c>
      <c r="B509" s="71" t="s">
        <v>1028</v>
      </c>
      <c r="C509" s="72" t="n">
        <f aca="false">Cap_12!B42</f>
        <v>5100</v>
      </c>
      <c r="D509" s="72" t="n">
        <f aca="false">Cap_12!D42</f>
        <v>5100</v>
      </c>
      <c r="E509" s="73" t="str">
        <f aca="false">Cap_12!E42</f>
        <v>OK</v>
      </c>
    </row>
    <row r="510" customFormat="false" ht="15" hidden="false" customHeight="true" outlineLevel="0" collapsed="false">
      <c r="A510" s="71" t="s">
        <v>50</v>
      </c>
      <c r="B510" s="71" t="s">
        <v>1029</v>
      </c>
      <c r="C510" s="72" t="n">
        <f aca="false">Cap_12!B43</f>
        <v>45600</v>
      </c>
      <c r="D510" s="72" t="n">
        <f aca="false">Cap_12!D43</f>
        <v>45600</v>
      </c>
      <c r="E510" s="73" t="str">
        <f aca="false">Cap_12!E43</f>
        <v>OK</v>
      </c>
    </row>
    <row r="511" customFormat="false" ht="15" hidden="false" customHeight="true" outlineLevel="0" collapsed="false">
      <c r="A511" s="71" t="s">
        <v>50</v>
      </c>
      <c r="B511" s="71" t="s">
        <v>1030</v>
      </c>
      <c r="C511" s="72" t="n">
        <f aca="false">Cap_12!B44</f>
        <v>0</v>
      </c>
      <c r="D511" s="72" t="n">
        <f aca="false">Cap_12!D44</f>
        <v>0</v>
      </c>
      <c r="E511" s="73" t="str">
        <f aca="false">Cap_12!E44</f>
        <v>OK</v>
      </c>
    </row>
    <row r="512" customFormat="false" ht="15" hidden="false" customHeight="true" outlineLevel="0" collapsed="false">
      <c r="A512" s="71" t="s">
        <v>50</v>
      </c>
      <c r="B512" s="71" t="s">
        <v>1031</v>
      </c>
      <c r="C512" s="72" t="n">
        <f aca="false">Cap_12!B45</f>
        <v>300</v>
      </c>
      <c r="D512" s="72" t="n">
        <f aca="false">Cap_12!D45</f>
        <v>300</v>
      </c>
      <c r="E512" s="73" t="str">
        <f aca="false">Cap_12!E45</f>
        <v>OK</v>
      </c>
    </row>
    <row r="513" customFormat="false" ht="15" hidden="false" customHeight="true" outlineLevel="0" collapsed="false">
      <c r="A513" s="71" t="s">
        <v>50</v>
      </c>
      <c r="B513" s="71" t="s">
        <v>1032</v>
      </c>
      <c r="C513" s="72" t="n">
        <f aca="false">Cap_12!B46</f>
        <v>300</v>
      </c>
      <c r="D513" s="72" t="n">
        <f aca="false">Cap_12!D46</f>
        <v>300</v>
      </c>
      <c r="E513" s="73" t="str">
        <f aca="false">Cap_12!E46</f>
        <v>OK</v>
      </c>
    </row>
    <row r="514" customFormat="false" ht="15" hidden="false" customHeight="true" outlineLevel="0" collapsed="false">
      <c r="A514" s="71" t="s">
        <v>50</v>
      </c>
      <c r="B514" s="71" t="s">
        <v>1033</v>
      </c>
      <c r="C514" s="72" t="n">
        <f aca="false">Cap_12!B47</f>
        <v>269900</v>
      </c>
      <c r="D514" s="72" t="n">
        <f aca="false">Cap_12!D47</f>
        <v>269900</v>
      </c>
      <c r="E514" s="73" t="str">
        <f aca="false">Cap_12!E47</f>
        <v>OK</v>
      </c>
    </row>
    <row r="515" customFormat="false" ht="15" hidden="false" customHeight="true" outlineLevel="0" collapsed="false">
      <c r="A515" s="71" t="s">
        <v>50</v>
      </c>
      <c r="B515" s="71" t="s">
        <v>1034</v>
      </c>
      <c r="C515" s="71" t="str">
        <f aca="false">Cap_12!B48</f>
        <v>Quadra</v>
      </c>
      <c r="D515" s="71" t="str">
        <f aca="false">Cap_12!D48</f>
        <v>Quadra</v>
      </c>
      <c r="E515" s="73" t="str">
        <f aca="false">Cap_12!E48</f>
        <v>OK</v>
      </c>
    </row>
    <row r="516" customFormat="false" ht="15" hidden="false" customHeight="true" outlineLevel="0" collapsed="false">
      <c r="A516" s="71" t="s">
        <v>50</v>
      </c>
      <c r="B516" s="71" t="s">
        <v>1038</v>
      </c>
      <c r="C516" s="72" t="n">
        <f aca="false">Cap_12!B53</f>
        <v>224300</v>
      </c>
      <c r="D516" s="72" t="n">
        <f aca="false">Cap_12!D53</f>
        <v>224300</v>
      </c>
      <c r="E516" s="73" t="str">
        <f aca="false">Cap_12!E53</f>
        <v>OK</v>
      </c>
    </row>
    <row r="517" customFormat="false" ht="15" hidden="false" customHeight="true" outlineLevel="0" collapsed="false">
      <c r="A517" s="71" t="s">
        <v>50</v>
      </c>
      <c r="B517" s="71" t="s">
        <v>1039</v>
      </c>
      <c r="C517" s="72" t="n">
        <f aca="false">Cap_12!B54</f>
        <v>-17700</v>
      </c>
      <c r="D517" s="72" t="n">
        <f aca="false">Cap_12!D54</f>
        <v>-17700</v>
      </c>
      <c r="E517" s="73" t="str">
        <f aca="false">Cap_12!E54</f>
        <v>OK</v>
      </c>
    </row>
    <row r="518" customFormat="false" ht="15" hidden="false" customHeight="true" outlineLevel="0" collapsed="false">
      <c r="A518" s="71" t="s">
        <v>50</v>
      </c>
      <c r="B518" s="71" t="s">
        <v>1041</v>
      </c>
      <c r="C518" s="72" t="n">
        <f aca="false">Cap_12!B56</f>
        <v>5700</v>
      </c>
      <c r="D518" s="72" t="n">
        <f aca="false">Cap_12!D56</f>
        <v>5700</v>
      </c>
      <c r="E518" s="73" t="str">
        <f aca="false">Cap_12!E56</f>
        <v>OK</v>
      </c>
    </row>
    <row r="519" customFormat="false" ht="15" hidden="false" customHeight="true" outlineLevel="0" collapsed="false">
      <c r="A519" s="71" t="s">
        <v>50</v>
      </c>
      <c r="B519" s="71" t="s">
        <v>1042</v>
      </c>
      <c r="C519" s="72" t="n">
        <f aca="false">Cap_12!B57</f>
        <v>22800</v>
      </c>
      <c r="D519" s="72" t="n">
        <f aca="false">Cap_12!D57</f>
        <v>22800</v>
      </c>
      <c r="E519" s="73" t="str">
        <f aca="false">Cap_12!E57</f>
        <v>OK</v>
      </c>
    </row>
    <row r="520" customFormat="false" ht="15" hidden="false" customHeight="true" outlineLevel="0" collapsed="false">
      <c r="A520" s="71" t="s">
        <v>50</v>
      </c>
      <c r="B520" s="71" t="s">
        <v>1043</v>
      </c>
      <c r="C520" s="72" t="n">
        <f aca="false">Cap_12!B58</f>
        <v>247100</v>
      </c>
      <c r="D520" s="72" t="n">
        <f aca="false">Cap_12!D58</f>
        <v>247100</v>
      </c>
      <c r="E520" s="73" t="str">
        <f aca="false">Cap_12!E58</f>
        <v>OK</v>
      </c>
    </row>
    <row r="521" customFormat="false" ht="15" hidden="false" customHeight="true" outlineLevel="0" collapsed="false">
      <c r="A521" s="71" t="s">
        <v>53</v>
      </c>
      <c r="B521" s="71" t="s">
        <v>1051</v>
      </c>
      <c r="C521" s="72" t="n">
        <f aca="false">Cap_13!B13</f>
        <v>960000</v>
      </c>
      <c r="D521" s="72" t="n">
        <f aca="false">Cap_13!D13</f>
        <v>960000</v>
      </c>
      <c r="E521" s="73" t="str">
        <f aca="false">Cap_13!E13</f>
        <v>OK</v>
      </c>
    </row>
    <row r="522" customFormat="false" ht="15" hidden="false" customHeight="true" outlineLevel="0" collapsed="false">
      <c r="A522" s="71" t="s">
        <v>53</v>
      </c>
      <c r="B522" s="71" t="s">
        <v>1052</v>
      </c>
      <c r="C522" s="72" t="n">
        <f aca="false">Cap_13!B14</f>
        <v>400000</v>
      </c>
      <c r="D522" s="72" t="n">
        <f aca="false">Cap_13!D14</f>
        <v>400000</v>
      </c>
      <c r="E522" s="73" t="str">
        <f aca="false">Cap_13!E14</f>
        <v>OK</v>
      </c>
    </row>
    <row r="523" customFormat="false" ht="15" hidden="false" customHeight="true" outlineLevel="0" collapsed="false">
      <c r="A523" s="71" t="s">
        <v>53</v>
      </c>
      <c r="B523" s="71" t="s">
        <v>1053</v>
      </c>
      <c r="C523" s="72" t="n">
        <f aca="false">Cap_13!B15</f>
        <v>13000</v>
      </c>
      <c r="D523" s="72" t="n">
        <f aca="false">Cap_13!D15</f>
        <v>13000</v>
      </c>
      <c r="E523" s="73" t="str">
        <f aca="false">Cap_13!E15</f>
        <v>OK</v>
      </c>
    </row>
    <row r="524" customFormat="false" ht="15" hidden="false" customHeight="true" outlineLevel="0" collapsed="false">
      <c r="A524" s="71" t="s">
        <v>53</v>
      </c>
      <c r="B524" s="71" t="s">
        <v>152</v>
      </c>
      <c r="C524" s="72" t="n">
        <f aca="false">Cap_13!B16</f>
        <v>1360000</v>
      </c>
      <c r="D524" s="72" t="n">
        <f aca="false">Cap_13!D16</f>
        <v>1360000</v>
      </c>
      <c r="E524" s="73" t="str">
        <f aca="false">Cap_13!E16</f>
        <v>OK</v>
      </c>
    </row>
    <row r="525" customFormat="false" ht="15" hidden="false" customHeight="true" outlineLevel="0" collapsed="false">
      <c r="A525" s="71" t="s">
        <v>53</v>
      </c>
      <c r="B525" s="71" t="s">
        <v>1058</v>
      </c>
      <c r="C525" s="72" t="n">
        <f aca="false">Cap_13!B24</f>
        <v>8300</v>
      </c>
      <c r="D525" s="72" t="n">
        <f aca="false">Cap_13!D24</f>
        <v>8300</v>
      </c>
      <c r="E525" s="73" t="str">
        <f aca="false">Cap_13!E24</f>
        <v>OK</v>
      </c>
    </row>
    <row r="526" customFormat="false" ht="15" hidden="false" customHeight="true" outlineLevel="0" collapsed="false">
      <c r="A526" s="71" t="s">
        <v>53</v>
      </c>
      <c r="B526" s="71" t="s">
        <v>1061</v>
      </c>
      <c r="C526" s="72" t="n">
        <f aca="false">Cap_13!B26</f>
        <v>24900</v>
      </c>
      <c r="D526" s="72" t="n">
        <f aca="false">Cap_13!D26</f>
        <v>24900</v>
      </c>
      <c r="E526" s="73" t="str">
        <f aca="false">Cap_13!E26</f>
        <v>OK</v>
      </c>
    </row>
    <row r="527" customFormat="false" ht="15" hidden="false" customHeight="true" outlineLevel="0" collapsed="false">
      <c r="A527" s="71" t="s">
        <v>53</v>
      </c>
      <c r="B527" s="71" t="s">
        <v>1064</v>
      </c>
      <c r="C527" s="72" t="n">
        <f aca="false">Cap_13!B28</f>
        <v>4150</v>
      </c>
      <c r="D527" s="72" t="n">
        <f aca="false">Cap_13!D28</f>
        <v>4150</v>
      </c>
      <c r="E527" s="73" t="str">
        <f aca="false">Cap_13!E28</f>
        <v>OK</v>
      </c>
    </row>
    <row r="528" customFormat="false" ht="15" hidden="false" customHeight="true" outlineLevel="0" collapsed="false">
      <c r="A528" s="71" t="s">
        <v>53</v>
      </c>
      <c r="B528" s="71" t="s">
        <v>599</v>
      </c>
      <c r="C528" s="72" t="n">
        <f aca="false">Cap_13!B38</f>
        <v>300000</v>
      </c>
      <c r="D528" s="72" t="n">
        <f aca="false">Cap_13!D38</f>
        <v>300000</v>
      </c>
      <c r="E528" s="73" t="str">
        <f aca="false">Cap_13!E38</f>
        <v>OK</v>
      </c>
    </row>
    <row r="529" customFormat="false" ht="15" hidden="false" customHeight="true" outlineLevel="0" collapsed="false">
      <c r="A529" s="71" t="s">
        <v>53</v>
      </c>
      <c r="B529" s="71" t="s">
        <v>1072</v>
      </c>
      <c r="C529" s="72" t="n">
        <f aca="false">Cap_13!B39</f>
        <v>140000</v>
      </c>
      <c r="D529" s="72" t="n">
        <f aca="false">Cap_13!D39</f>
        <v>140000</v>
      </c>
      <c r="E529" s="73" t="str">
        <f aca="false">Cap_13!E39</f>
        <v>OK</v>
      </c>
    </row>
    <row r="530" customFormat="false" ht="15" hidden="false" customHeight="true" outlineLevel="0" collapsed="false">
      <c r="A530" s="71" t="s">
        <v>53</v>
      </c>
      <c r="B530" s="71" t="s">
        <v>1073</v>
      </c>
      <c r="C530" s="72" t="n">
        <f aca="false">Cap_13!B40</f>
        <v>15000</v>
      </c>
      <c r="D530" s="72" t="n">
        <f aca="false">Cap_13!D40</f>
        <v>15000</v>
      </c>
      <c r="E530" s="73" t="str">
        <f aca="false">Cap_13!E40</f>
        <v>OK</v>
      </c>
    </row>
    <row r="531" customFormat="false" ht="15" hidden="false" customHeight="true" outlineLevel="0" collapsed="false">
      <c r="A531" s="71" t="s">
        <v>53</v>
      </c>
      <c r="B531" s="71" t="s">
        <v>167</v>
      </c>
      <c r="C531" s="72" t="n">
        <f aca="false">Cap_13!B41</f>
        <v>145000</v>
      </c>
      <c r="D531" s="72" t="n">
        <f aca="false">Cap_13!D41</f>
        <v>145000</v>
      </c>
      <c r="E531" s="73" t="str">
        <f aca="false">Cap_13!E41</f>
        <v>OK</v>
      </c>
    </row>
    <row r="532" customFormat="false" ht="15" hidden="false" customHeight="true" outlineLevel="0" collapsed="false">
      <c r="A532" s="71" t="s">
        <v>53</v>
      </c>
      <c r="B532" s="71" t="s">
        <v>1074</v>
      </c>
      <c r="C532" s="72" t="n">
        <f aca="false">Cap_13!B42</f>
        <v>120000</v>
      </c>
      <c r="D532" s="72" t="n">
        <f aca="false">Cap_13!D42</f>
        <v>120000</v>
      </c>
      <c r="E532" s="73" t="str">
        <f aca="false">Cap_13!E42</f>
        <v>OK</v>
      </c>
    </row>
    <row r="533" customFormat="false" ht="15" hidden="false" customHeight="true" outlineLevel="0" collapsed="false">
      <c r="A533" s="71" t="s">
        <v>53</v>
      </c>
      <c r="B533" s="71" t="s">
        <v>1078</v>
      </c>
      <c r="C533" s="72" t="n">
        <f aca="false">Cap_13!B48</f>
        <v>8000</v>
      </c>
      <c r="D533" s="72" t="n">
        <f aca="false">Cap_13!D48</f>
        <v>8000</v>
      </c>
      <c r="E533" s="73" t="str">
        <f aca="false">Cap_13!E48</f>
        <v>OK</v>
      </c>
    </row>
    <row r="534" customFormat="false" ht="15" hidden="false" customHeight="true" outlineLevel="0" collapsed="false">
      <c r="A534" s="71" t="s">
        <v>53</v>
      </c>
      <c r="B534" s="71" t="s">
        <v>1079</v>
      </c>
      <c r="C534" s="72" t="n">
        <f aca="false">Cap_13!B49</f>
        <v>11400</v>
      </c>
      <c r="D534" s="72" t="n">
        <f aca="false">Cap_13!D49</f>
        <v>11400</v>
      </c>
      <c r="E534" s="73" t="str">
        <f aca="false">Cap_13!E49</f>
        <v>OK</v>
      </c>
    </row>
    <row r="535" customFormat="false" ht="15" hidden="false" customHeight="true" outlineLevel="0" collapsed="false">
      <c r="A535" s="71" t="s">
        <v>53</v>
      </c>
      <c r="B535" s="71" t="s">
        <v>1080</v>
      </c>
      <c r="C535" s="72" t="n">
        <f aca="false">Cap_13!B50</f>
        <v>2100</v>
      </c>
      <c r="D535" s="72" t="n">
        <f aca="false">Cap_13!D50</f>
        <v>2100</v>
      </c>
      <c r="E535" s="73" t="str">
        <f aca="false">Cap_13!E50</f>
        <v>OK</v>
      </c>
    </row>
    <row r="536" customFormat="false" ht="15" hidden="false" customHeight="true" outlineLevel="0" collapsed="false">
      <c r="A536" s="71" t="s">
        <v>53</v>
      </c>
      <c r="B536" s="71" t="s">
        <v>1081</v>
      </c>
      <c r="C536" s="72" t="n">
        <f aca="false">Cap_13!B51</f>
        <v>21500</v>
      </c>
      <c r="D536" s="72" t="n">
        <f aca="false">Cap_13!D51</f>
        <v>21500</v>
      </c>
      <c r="E536" s="73" t="str">
        <f aca="false">Cap_13!E51</f>
        <v>OK</v>
      </c>
    </row>
    <row r="537" customFormat="false" ht="15" hidden="false" customHeight="true" outlineLevel="0" collapsed="false">
      <c r="A537" s="71" t="s">
        <v>53</v>
      </c>
      <c r="B537" s="71" t="s">
        <v>1082</v>
      </c>
      <c r="C537" s="72" t="n">
        <f aca="false">Cap_13!B52</f>
        <v>12000</v>
      </c>
      <c r="D537" s="72" t="n">
        <f aca="false">Cap_13!D52</f>
        <v>12000</v>
      </c>
      <c r="E537" s="73" t="str">
        <f aca="false">Cap_13!E52</f>
        <v>OK</v>
      </c>
    </row>
    <row r="538" customFormat="false" ht="15" hidden="false" customHeight="true" outlineLevel="0" collapsed="false">
      <c r="A538" s="71" t="s">
        <v>53</v>
      </c>
      <c r="B538" s="71" t="s">
        <v>1083</v>
      </c>
      <c r="C538" s="72" t="n">
        <f aca="false">Cap_13!B53</f>
        <v>5700</v>
      </c>
      <c r="D538" s="72" t="n">
        <f aca="false">Cap_13!D53</f>
        <v>5700</v>
      </c>
      <c r="E538" s="73" t="str">
        <f aca="false">Cap_13!E53</f>
        <v>OK</v>
      </c>
    </row>
    <row r="539" customFormat="false" ht="15" hidden="false" customHeight="true" outlineLevel="0" collapsed="false">
      <c r="A539" s="71" t="s">
        <v>53</v>
      </c>
      <c r="B539" s="71" t="s">
        <v>1084</v>
      </c>
      <c r="C539" s="72" t="n">
        <f aca="false">Cap_13!B54</f>
        <v>6300</v>
      </c>
      <c r="D539" s="72" t="n">
        <f aca="false">Cap_13!D54</f>
        <v>6300</v>
      </c>
      <c r="E539" s="73" t="str">
        <f aca="false">Cap_13!E54</f>
        <v>OK</v>
      </c>
    </row>
    <row r="540" customFormat="false" ht="15" hidden="false" customHeight="true" outlineLevel="0" collapsed="false">
      <c r="A540" s="71" t="s">
        <v>53</v>
      </c>
      <c r="B540" s="71" t="s">
        <v>155</v>
      </c>
      <c r="C540" s="72" t="n">
        <f aca="false">Cap_13!B55</f>
        <v>24000</v>
      </c>
      <c r="D540" s="72" t="n">
        <f aca="false">Cap_13!D55</f>
        <v>24000</v>
      </c>
      <c r="E540" s="73" t="str">
        <f aca="false">Cap_13!E55</f>
        <v>OK</v>
      </c>
    </row>
    <row r="541" customFormat="false" ht="15" hidden="false" customHeight="true" outlineLevel="0" collapsed="false">
      <c r="A541" s="71" t="s">
        <v>53</v>
      </c>
      <c r="B541" s="71" t="s">
        <v>1085</v>
      </c>
      <c r="C541" s="71" t="str">
        <f aca="false">Cap_13!B56</f>
        <v>Quadra</v>
      </c>
      <c r="D541" s="71" t="str">
        <f aca="false">Cap_13!D56</f>
        <v>Quadra</v>
      </c>
      <c r="E541" s="73" t="str">
        <f aca="false">Cap_13!E56</f>
        <v>OK</v>
      </c>
    </row>
    <row r="542" customFormat="false" ht="15" hidden="false" customHeight="true" outlineLevel="0" collapsed="false">
      <c r="A542" s="71" t="s">
        <v>53</v>
      </c>
      <c r="B542" s="71" t="s">
        <v>1086</v>
      </c>
      <c r="C542" s="72" t="n">
        <f aca="false">Cap_13!B57</f>
        <v>3392100</v>
      </c>
      <c r="D542" s="72" t="n">
        <f aca="false">Cap_13!D57</f>
        <v>3392100</v>
      </c>
      <c r="E542" s="73" t="str">
        <f aca="false">Cap_13!E57</f>
        <v>OK</v>
      </c>
    </row>
    <row r="543" customFormat="false" ht="15" hidden="false" customHeight="true" outlineLevel="0" collapsed="false">
      <c r="A543" s="71" t="s">
        <v>53</v>
      </c>
      <c r="B543" s="71" t="s">
        <v>1087</v>
      </c>
      <c r="C543" s="72" t="n">
        <f aca="false">Cap_13!B58</f>
        <v>820000</v>
      </c>
      <c r="D543" s="72" t="n">
        <f aca="false">Cap_13!D58</f>
        <v>820000</v>
      </c>
      <c r="E543" s="73" t="str">
        <f aca="false">Cap_13!E58</f>
        <v>OK</v>
      </c>
    </row>
    <row r="544" customFormat="false" ht="15" hidden="false" customHeight="true" outlineLevel="0" collapsed="false">
      <c r="A544" s="71" t="s">
        <v>53</v>
      </c>
      <c r="B544" s="71" t="s">
        <v>1090</v>
      </c>
      <c r="C544" s="72" t="n">
        <f aca="false">Cap_13!B63</f>
        <v>1750</v>
      </c>
      <c r="D544" s="72" t="n">
        <f aca="false">Cap_13!D63</f>
        <v>1750</v>
      </c>
      <c r="E544" s="73" t="str">
        <f aca="false">Cap_13!E63</f>
        <v>OK</v>
      </c>
    </row>
    <row r="545" customFormat="false" ht="15" hidden="false" customHeight="true" outlineLevel="0" collapsed="false">
      <c r="A545" s="71" t="s">
        <v>53</v>
      </c>
      <c r="B545" s="71" t="s">
        <v>1094</v>
      </c>
      <c r="C545" s="72" t="n">
        <f aca="false">Cap_13!B67</f>
        <v>1800</v>
      </c>
      <c r="D545" s="72" t="n">
        <f aca="false">Cap_13!D67</f>
        <v>1800</v>
      </c>
      <c r="E545" s="73" t="str">
        <f aca="false">Cap_13!E67</f>
        <v>OK</v>
      </c>
    </row>
    <row r="546" customFormat="false" ht="15" hidden="false" customHeight="true" outlineLevel="0" collapsed="false">
      <c r="A546" s="71" t="s">
        <v>53</v>
      </c>
      <c r="B546" s="71" t="s">
        <v>1095</v>
      </c>
      <c r="C546" s="72" t="n">
        <f aca="false">Cap_13!B68</f>
        <v>283800</v>
      </c>
      <c r="D546" s="72" t="n">
        <f aca="false">Cap_13!D68</f>
        <v>283800</v>
      </c>
      <c r="E546" s="73" t="str">
        <f aca="false">Cap_13!E68</f>
        <v>OK</v>
      </c>
    </row>
    <row r="547" customFormat="false" ht="15" hidden="false" customHeight="true" outlineLevel="0" collapsed="false">
      <c r="A547" s="71" t="s">
        <v>53</v>
      </c>
      <c r="B547" s="71" t="s">
        <v>1096</v>
      </c>
      <c r="C547" s="72" t="n">
        <f aca="false">Cap_13!B69</f>
        <v>900</v>
      </c>
      <c r="D547" s="72" t="n">
        <f aca="false">Cap_13!D69</f>
        <v>900</v>
      </c>
      <c r="E547" s="73" t="str">
        <f aca="false">Cap_13!E69</f>
        <v>OK</v>
      </c>
    </row>
    <row r="548" customFormat="false" ht="15" hidden="false" customHeight="true" outlineLevel="0" collapsed="false">
      <c r="A548" s="71" t="s">
        <v>53</v>
      </c>
      <c r="B548" s="71" t="s">
        <v>1097</v>
      </c>
      <c r="C548" s="72" t="n">
        <f aca="false">Cap_13!B70</f>
        <v>500</v>
      </c>
      <c r="D548" s="72" t="n">
        <f aca="false">Cap_13!D70</f>
        <v>500</v>
      </c>
      <c r="E548" s="73" t="str">
        <f aca="false">Cap_13!E70</f>
        <v>OK</v>
      </c>
    </row>
    <row r="549" customFormat="false" ht="15" hidden="false" customHeight="true" outlineLevel="0" collapsed="false">
      <c r="A549" s="71" t="s">
        <v>53</v>
      </c>
      <c r="B549" s="71" t="s">
        <v>1098</v>
      </c>
      <c r="C549" s="72" t="n">
        <f aca="false">Cap_13!B71</f>
        <v>600</v>
      </c>
      <c r="D549" s="72" t="n">
        <f aca="false">Cap_13!D71</f>
        <v>600</v>
      </c>
      <c r="E549" s="73" t="str">
        <f aca="false">Cap_13!E71</f>
        <v>OK</v>
      </c>
    </row>
    <row r="550" customFormat="false" ht="15" hidden="false" customHeight="true" outlineLevel="0" collapsed="false">
      <c r="A550" s="71" t="s">
        <v>53</v>
      </c>
      <c r="B550" s="71" t="s">
        <v>1099</v>
      </c>
      <c r="C550" s="72" t="n">
        <f aca="false">Cap_13!B72</f>
        <v>2000</v>
      </c>
      <c r="D550" s="72" t="n">
        <f aca="false">Cap_13!D72</f>
        <v>2000</v>
      </c>
      <c r="E550" s="73" t="str">
        <f aca="false">Cap_13!E72</f>
        <v>OK</v>
      </c>
    </row>
    <row r="551" customFormat="false" ht="15" hidden="false" customHeight="true" outlineLevel="0" collapsed="false">
      <c r="A551" s="71" t="s">
        <v>53</v>
      </c>
      <c r="B551" s="71" t="s">
        <v>1100</v>
      </c>
      <c r="C551" s="72" t="n">
        <f aca="false">Cap_13!B73</f>
        <v>250</v>
      </c>
      <c r="D551" s="72" t="n">
        <f aca="false">Cap_13!D73</f>
        <v>250</v>
      </c>
      <c r="E551" s="73" t="str">
        <f aca="false">Cap_13!E73</f>
        <v>OK</v>
      </c>
    </row>
    <row r="552" customFormat="false" ht="15" hidden="false" customHeight="true" outlineLevel="0" collapsed="false">
      <c r="A552" s="71" t="s">
        <v>53</v>
      </c>
      <c r="B552" s="71" t="s">
        <v>1101</v>
      </c>
      <c r="C552" s="72" t="n">
        <f aca="false">Cap_13!B74</f>
        <v>7000</v>
      </c>
      <c r="D552" s="72" t="n">
        <f aca="false">Cap_13!D74</f>
        <v>7000</v>
      </c>
      <c r="E552" s="73" t="str">
        <f aca="false">Cap_13!E74</f>
        <v>OK</v>
      </c>
    </row>
    <row r="553" customFormat="false" ht="15" hidden="false" customHeight="true" outlineLevel="0" collapsed="false">
      <c r="A553" s="71" t="s">
        <v>53</v>
      </c>
      <c r="B553" s="71" t="s">
        <v>1103</v>
      </c>
      <c r="C553" s="72" t="n">
        <f aca="false">Cap_13!B76</f>
        <v>69200</v>
      </c>
      <c r="D553" s="72" t="n">
        <f aca="false">Cap_13!D76</f>
        <v>69200</v>
      </c>
      <c r="E553" s="73" t="str">
        <f aca="false">Cap_13!E76</f>
        <v>OK</v>
      </c>
    </row>
    <row r="554" customFormat="false" ht="15" hidden="false" customHeight="true" outlineLevel="0" collapsed="false">
      <c r="A554" s="71" t="s">
        <v>53</v>
      </c>
      <c r="B554" s="71" t="s">
        <v>1107</v>
      </c>
      <c r="C554" s="72" t="n">
        <f aca="false">Cap_13!B82</f>
        <v>2200</v>
      </c>
      <c r="D554" s="72" t="n">
        <f aca="false">Cap_13!D82</f>
        <v>2200</v>
      </c>
      <c r="E554" s="73" t="str">
        <f aca="false">Cap_13!E82</f>
        <v>OK</v>
      </c>
    </row>
    <row r="555" customFormat="false" ht="15" hidden="false" customHeight="true" outlineLevel="0" collapsed="false">
      <c r="A555" s="71" t="s">
        <v>53</v>
      </c>
      <c r="B555" s="71" t="s">
        <v>1108</v>
      </c>
      <c r="C555" s="72" t="n">
        <f aca="false">Cap_13!B83</f>
        <v>24300</v>
      </c>
      <c r="D555" s="72" t="n">
        <f aca="false">Cap_13!D83</f>
        <v>24300</v>
      </c>
      <c r="E555" s="73" t="str">
        <f aca="false">Cap_13!E83</f>
        <v>OK</v>
      </c>
    </row>
    <row r="556" customFormat="false" ht="15" hidden="false" customHeight="true" outlineLevel="0" collapsed="false">
      <c r="A556" s="71" t="s">
        <v>53</v>
      </c>
      <c r="B556" s="71" t="s">
        <v>1109</v>
      </c>
      <c r="C556" s="72" t="n">
        <f aca="false">Cap_13!B84</f>
        <v>3300</v>
      </c>
      <c r="D556" s="72" t="n">
        <f aca="false">Cap_13!D84</f>
        <v>3300</v>
      </c>
      <c r="E556" s="73" t="str">
        <f aca="false">Cap_13!E84</f>
        <v>OK</v>
      </c>
    </row>
    <row r="557" customFormat="false" ht="15" hidden="false" customHeight="true" outlineLevel="0" collapsed="false">
      <c r="A557" s="71" t="s">
        <v>53</v>
      </c>
      <c r="B557" s="71" t="s">
        <v>1110</v>
      </c>
      <c r="C557" s="72" t="n">
        <f aca="false">Cap_13!B85</f>
        <v>8400</v>
      </c>
      <c r="D557" s="72" t="n">
        <f aca="false">Cap_13!D85</f>
        <v>8400</v>
      </c>
      <c r="E557" s="73" t="str">
        <f aca="false">Cap_13!E85</f>
        <v>OK</v>
      </c>
    </row>
    <row r="558" customFormat="false" ht="15" hidden="false" customHeight="true" outlineLevel="0" collapsed="false">
      <c r="A558" s="71" t="s">
        <v>53</v>
      </c>
      <c r="B558" s="71" t="s">
        <v>1111</v>
      </c>
      <c r="C558" s="72" t="n">
        <f aca="false">Cap_13!B86</f>
        <v>23800</v>
      </c>
      <c r="D558" s="72" t="n">
        <f aca="false">Cap_13!D86</f>
        <v>23800</v>
      </c>
      <c r="E558" s="73" t="str">
        <f aca="false">Cap_13!E86</f>
        <v>OK</v>
      </c>
    </row>
    <row r="559" customFormat="false" ht="15" hidden="false" customHeight="true" outlineLevel="0" collapsed="false">
      <c r="A559" s="71" t="s">
        <v>53</v>
      </c>
      <c r="B559" s="71" t="s">
        <v>1112</v>
      </c>
      <c r="C559" s="72" t="n">
        <f aca="false">Cap_13!B87</f>
        <v>32200</v>
      </c>
      <c r="D559" s="72" t="n">
        <f aca="false">Cap_13!D87</f>
        <v>32200</v>
      </c>
      <c r="E559" s="73" t="str">
        <f aca="false">Cap_13!E87</f>
        <v>OK</v>
      </c>
    </row>
    <row r="560" customFormat="false" ht="15" hidden="false" customHeight="true" outlineLevel="0" collapsed="false">
      <c r="A560" s="71" t="s">
        <v>53</v>
      </c>
      <c r="B560" s="71" t="s">
        <v>1113</v>
      </c>
      <c r="C560" s="72" t="n">
        <f aca="false">Cap_13!B88</f>
        <v>261500</v>
      </c>
      <c r="D560" s="72" t="n">
        <f aca="false">Cap_13!D88</f>
        <v>261500</v>
      </c>
      <c r="E560" s="73" t="str">
        <f aca="false">Cap_13!E88</f>
        <v>OK</v>
      </c>
    </row>
    <row r="561" customFormat="false" ht="15" hidden="false" customHeight="true" outlineLevel="0" collapsed="false">
      <c r="A561" s="71" t="s">
        <v>53</v>
      </c>
      <c r="B561" s="71" t="s">
        <v>1116</v>
      </c>
      <c r="C561" s="72" t="n">
        <f aca="false">Cap_13!B93</f>
        <v>5</v>
      </c>
      <c r="D561" s="72" t="n">
        <f aca="false">Cap_13!D93</f>
        <v>5</v>
      </c>
      <c r="E561" s="73" t="str">
        <f aca="false">Cap_13!E93</f>
        <v>OK</v>
      </c>
    </row>
    <row r="562" customFormat="false" ht="15" hidden="false" customHeight="true" outlineLevel="0" collapsed="false">
      <c r="A562" s="71" t="s">
        <v>53</v>
      </c>
      <c r="B562" s="71" t="s">
        <v>1117</v>
      </c>
      <c r="C562" s="72" t="n">
        <f aca="false">Cap_13!B94</f>
        <v>15</v>
      </c>
      <c r="D562" s="72" t="n">
        <f aca="false">Cap_13!D94</f>
        <v>15</v>
      </c>
      <c r="E562" s="73" t="str">
        <f aca="false">Cap_13!E94</f>
        <v>OK</v>
      </c>
    </row>
    <row r="563" customFormat="false" ht="15" hidden="false" customHeight="true" outlineLevel="0" collapsed="false">
      <c r="A563" s="71" t="s">
        <v>53</v>
      </c>
      <c r="B563" s="71" t="s">
        <v>1118</v>
      </c>
      <c r="C563" s="72" t="n">
        <f aca="false">Cap_13!B95</f>
        <v>253</v>
      </c>
      <c r="D563" s="72" t="n">
        <f aca="false">Cap_13!D95</f>
        <v>253</v>
      </c>
      <c r="E563" s="73" t="str">
        <f aca="false">Cap_13!E95</f>
        <v>OK</v>
      </c>
    </row>
    <row r="564" customFormat="false" ht="15" hidden="false" customHeight="true" outlineLevel="0" collapsed="false">
      <c r="A564" s="71" t="s">
        <v>53</v>
      </c>
      <c r="B564" s="71" t="s">
        <v>1119</v>
      </c>
      <c r="C564" s="72" t="n">
        <f aca="false">Cap_13!B96</f>
        <v>25300</v>
      </c>
      <c r="D564" s="72" t="n">
        <f aca="false">Cap_13!D96</f>
        <v>25300</v>
      </c>
      <c r="E564" s="73" t="str">
        <f aca="false">Cap_13!E96</f>
        <v>OK</v>
      </c>
    </row>
    <row r="565" customFormat="false" ht="15" hidden="false" customHeight="true" outlineLevel="0" collapsed="false">
      <c r="A565" s="71" t="s">
        <v>53</v>
      </c>
      <c r="B565" s="71" t="s">
        <v>1120</v>
      </c>
      <c r="C565" s="72" t="n">
        <f aca="false">Cap_13!B97</f>
        <v>1500</v>
      </c>
      <c r="D565" s="72" t="n">
        <f aca="false">Cap_13!D97</f>
        <v>1500</v>
      </c>
      <c r="E565" s="73" t="str">
        <f aca="false">Cap_13!E97</f>
        <v>OK</v>
      </c>
    </row>
    <row r="566" customFormat="false" ht="15" hidden="false" customHeight="true" outlineLevel="0" collapsed="false">
      <c r="A566" s="71" t="s">
        <v>53</v>
      </c>
      <c r="B566" s="71" t="s">
        <v>1121</v>
      </c>
      <c r="C566" s="72" t="n">
        <f aca="false">Cap_13!B98</f>
        <v>263000</v>
      </c>
      <c r="D566" s="72" t="n">
        <f aca="false">Cap_13!D98</f>
        <v>263000</v>
      </c>
      <c r="E566" s="73" t="str">
        <f aca="false">Cap_13!E98</f>
        <v>OK</v>
      </c>
    </row>
    <row r="567" customFormat="false" ht="15" hidden="false" customHeight="true" outlineLevel="0" collapsed="false">
      <c r="A567" s="71" t="s">
        <v>53</v>
      </c>
      <c r="B567" s="71" t="s">
        <v>1122</v>
      </c>
      <c r="C567" s="72" t="n">
        <f aca="false">Cap_13!B99</f>
        <v>121500</v>
      </c>
      <c r="D567" s="72" t="n">
        <f aca="false">Cap_13!D99</f>
        <v>121500</v>
      </c>
      <c r="E567" s="73" t="str">
        <f aca="false">Cap_13!E99</f>
        <v>OK</v>
      </c>
    </row>
    <row r="568" customFormat="false" ht="15" hidden="false" customHeight="true" outlineLevel="0" collapsed="false">
      <c r="A568" s="71" t="s">
        <v>53</v>
      </c>
      <c r="B568" s="71" t="s">
        <v>1123</v>
      </c>
      <c r="C568" s="72" t="n">
        <f aca="false">Cap_13!B100</f>
        <v>1500</v>
      </c>
      <c r="D568" s="72" t="n">
        <f aca="false">Cap_13!D100</f>
        <v>1500</v>
      </c>
      <c r="E568" s="73" t="str">
        <f aca="false">Cap_13!E100</f>
        <v>OK</v>
      </c>
    </row>
    <row r="569" customFormat="false" ht="15" hidden="false" customHeight="true" outlineLevel="0" collapsed="false">
      <c r="A569" s="71" t="s">
        <v>53</v>
      </c>
      <c r="B569" s="71" t="s">
        <v>1126</v>
      </c>
      <c r="C569" s="72" t="n">
        <f aca="false">Cap_13!B105</f>
        <v>904000</v>
      </c>
      <c r="D569" s="72" t="n">
        <f aca="false">Cap_13!D105</f>
        <v>904000</v>
      </c>
      <c r="E569" s="73" t="str">
        <f aca="false">Cap_13!E105</f>
        <v>OK</v>
      </c>
    </row>
    <row r="570" customFormat="false" ht="15" hidden="false" customHeight="true" outlineLevel="0" collapsed="false">
      <c r="A570" s="71" t="s">
        <v>53</v>
      </c>
      <c r="B570" s="71" t="s">
        <v>1127</v>
      </c>
      <c r="C570" s="72" t="n">
        <f aca="false">Cap_13!B106</f>
        <v>185900</v>
      </c>
      <c r="D570" s="72" t="n">
        <f aca="false">Cap_13!D106</f>
        <v>185900</v>
      </c>
      <c r="E570" s="73" t="str">
        <f aca="false">Cap_13!E106</f>
        <v>OK</v>
      </c>
    </row>
    <row r="571" customFormat="false" ht="15" hidden="false" customHeight="true" outlineLevel="0" collapsed="false">
      <c r="A571" s="71" t="s">
        <v>53</v>
      </c>
      <c r="B571" s="71" t="s">
        <v>1136</v>
      </c>
      <c r="C571" s="72" t="n">
        <f aca="false">Cap_13!B117</f>
        <v>0</v>
      </c>
      <c r="D571" s="72" t="n">
        <f aca="false">Cap_13!D117</f>
        <v>0</v>
      </c>
      <c r="E571" s="73" t="str">
        <f aca="false">Cap_13!E117</f>
        <v>OK</v>
      </c>
    </row>
    <row r="572" customFormat="false" ht="15" hidden="false" customHeight="true" outlineLevel="0" collapsed="false">
      <c r="A572" s="71" t="s">
        <v>53</v>
      </c>
      <c r="B572" s="71" t="s">
        <v>1137</v>
      </c>
      <c r="C572" s="72" t="n">
        <f aca="false">Cap_13!B118</f>
        <v>343900</v>
      </c>
      <c r="D572" s="72" t="n">
        <f aca="false">Cap_13!D118</f>
        <v>343900</v>
      </c>
      <c r="E572" s="73" t="str">
        <f aca="false">Cap_13!E118</f>
        <v>OK</v>
      </c>
    </row>
    <row r="573" customFormat="false" ht="15" hidden="false" customHeight="true" outlineLevel="0" collapsed="false">
      <c r="A573" s="71" t="s">
        <v>53</v>
      </c>
      <c r="B573" s="71" t="s">
        <v>1138</v>
      </c>
      <c r="C573" s="72" t="n">
        <f aca="false">Cap_13!B119</f>
        <v>74000</v>
      </c>
      <c r="D573" s="72" t="n">
        <f aca="false">Cap_13!D119</f>
        <v>74000</v>
      </c>
      <c r="E573" s="73" t="str">
        <f aca="false">Cap_13!E119</f>
        <v>OK</v>
      </c>
    </row>
    <row r="574" customFormat="false" ht="15" hidden="false" customHeight="true" outlineLevel="0" collapsed="false">
      <c r="A574" s="71" t="s">
        <v>53</v>
      </c>
      <c r="B574" s="71" t="s">
        <v>1139</v>
      </c>
      <c r="C574" s="72" t="n">
        <f aca="false">Cap_13!B120</f>
        <v>269900</v>
      </c>
      <c r="D574" s="72" t="n">
        <f aca="false">Cap_13!D120</f>
        <v>269900</v>
      </c>
      <c r="E574" s="73" t="str">
        <f aca="false">Cap_13!E120</f>
        <v>OK</v>
      </c>
    </row>
    <row r="575" customFormat="false" ht="15" hidden="false" customHeight="true" outlineLevel="0" collapsed="false">
      <c r="A575" s="71" t="s">
        <v>53</v>
      </c>
      <c r="B575" s="71" t="s">
        <v>1140</v>
      </c>
      <c r="C575" s="72" t="n">
        <f aca="false">Cap_13!B121</f>
        <v>282675</v>
      </c>
      <c r="D575" s="72" t="n">
        <f aca="false">Cap_13!D121</f>
        <v>282675</v>
      </c>
      <c r="E575" s="73" t="str">
        <f aca="false">Cap_13!E121</f>
        <v>OK</v>
      </c>
    </row>
    <row r="576" customFormat="false" ht="15" hidden="false" customHeight="true" outlineLevel="0" collapsed="false">
      <c r="A576" s="71" t="s">
        <v>53</v>
      </c>
      <c r="B576" s="71" t="s">
        <v>1141</v>
      </c>
      <c r="C576" s="72" t="n">
        <f aca="false">Cap_13!B122</f>
        <v>61333.3333333333</v>
      </c>
      <c r="D576" s="72" t="n">
        <f aca="false">Cap_13!D122</f>
        <v>61333</v>
      </c>
      <c r="E576" s="73" t="str">
        <f aca="false">Cap_13!E122</f>
        <v>OK</v>
      </c>
    </row>
    <row r="577" customFormat="false" ht="15" hidden="false" customHeight="true" outlineLevel="0" collapsed="false">
      <c r="A577" s="71" t="s">
        <v>53</v>
      </c>
      <c r="B577" s="71" t="s">
        <v>1142</v>
      </c>
      <c r="C577" s="72" t="n">
        <f aca="false">Cap_13!B123</f>
        <v>9293.42465753425</v>
      </c>
      <c r="D577" s="72" t="n">
        <f aca="false">Cap_13!D123</f>
        <v>9293</v>
      </c>
      <c r="E577" s="73" t="str">
        <f aca="false">Cap_13!E123</f>
        <v>OK</v>
      </c>
    </row>
    <row r="578" customFormat="false" ht="15" hidden="false" customHeight="true" outlineLevel="0" collapsed="false">
      <c r="A578" s="71" t="s">
        <v>53</v>
      </c>
      <c r="B578" s="71" t="s">
        <v>1143</v>
      </c>
      <c r="C578" s="72" t="n">
        <f aca="false">Cap_13!B124</f>
        <v>311700</v>
      </c>
      <c r="D578" s="72" t="n">
        <f aca="false">Cap_13!D124</f>
        <v>311700</v>
      </c>
      <c r="E578" s="73" t="str">
        <f aca="false">Cap_13!E124</f>
        <v>OK</v>
      </c>
    </row>
    <row r="579" customFormat="false" ht="15" hidden="false" customHeight="true" outlineLevel="0" collapsed="false">
      <c r="A579" s="71" t="s">
        <v>53</v>
      </c>
      <c r="B579" s="71" t="s">
        <v>1144</v>
      </c>
      <c r="C579" s="72" t="n">
        <f aca="false">Cap_13!B125</f>
        <v>32200</v>
      </c>
      <c r="D579" s="72" t="n">
        <f aca="false">Cap_13!D125</f>
        <v>32200</v>
      </c>
      <c r="E579" s="73" t="str">
        <f aca="false">Cap_13!E125</f>
        <v>OK</v>
      </c>
    </row>
    <row r="580" customFormat="false" ht="15" hidden="false" customHeight="true" outlineLevel="0" collapsed="false">
      <c r="A580" s="71" t="s">
        <v>56</v>
      </c>
      <c r="B580" s="71" t="s">
        <v>1152</v>
      </c>
      <c r="C580" s="72" t="n">
        <f aca="false">Cap_14!B13</f>
        <v>60000</v>
      </c>
      <c r="D580" s="72" t="n">
        <f aca="false">Cap_14!D13</f>
        <v>60000</v>
      </c>
      <c r="E580" s="73" t="str">
        <f aca="false">Cap_14!E13</f>
        <v>OK</v>
      </c>
    </row>
    <row r="581" customFormat="false" ht="15" hidden="false" customHeight="true" outlineLevel="0" collapsed="false">
      <c r="A581" s="71" t="s">
        <v>56</v>
      </c>
      <c r="B581" s="71" t="s">
        <v>1153</v>
      </c>
      <c r="C581" s="72" t="n">
        <f aca="false">Cap_14!B14</f>
        <v>66000</v>
      </c>
      <c r="D581" s="72" t="n">
        <f aca="false">Cap_14!D14</f>
        <v>66000</v>
      </c>
      <c r="E581" s="73" t="str">
        <f aca="false">Cap_14!E14</f>
        <v>OK</v>
      </c>
    </row>
    <row r="582" customFormat="false" ht="15" hidden="false" customHeight="true" outlineLevel="0" collapsed="false">
      <c r="A582" s="71" t="s">
        <v>56</v>
      </c>
      <c r="B582" s="71" t="s">
        <v>1154</v>
      </c>
      <c r="C582" s="72" t="n">
        <f aca="false">Cap_14!B15</f>
        <v>6000</v>
      </c>
      <c r="D582" s="72" t="n">
        <f aca="false">Cap_14!D15</f>
        <v>6000</v>
      </c>
      <c r="E582" s="73" t="str">
        <f aca="false">Cap_14!E15</f>
        <v>OK</v>
      </c>
    </row>
    <row r="583" customFormat="false" ht="15" hidden="false" customHeight="true" outlineLevel="0" collapsed="false">
      <c r="A583" s="71" t="s">
        <v>56</v>
      </c>
      <c r="B583" s="71" t="s">
        <v>1155</v>
      </c>
      <c r="C583" s="72" t="n">
        <f aca="false">Cap_14!B16</f>
        <v>2200</v>
      </c>
      <c r="D583" s="72" t="n">
        <f aca="false">Cap_14!D16</f>
        <v>2200</v>
      </c>
      <c r="E583" s="73" t="str">
        <f aca="false">Cap_14!E16</f>
        <v>OK</v>
      </c>
    </row>
    <row r="584" customFormat="false" ht="15" hidden="false" customHeight="true" outlineLevel="0" collapsed="false">
      <c r="A584" s="71" t="s">
        <v>56</v>
      </c>
      <c r="B584" s="71" t="s">
        <v>1156</v>
      </c>
      <c r="C584" s="72" t="n">
        <f aca="false">Cap_14!B17</f>
        <v>8200</v>
      </c>
      <c r="D584" s="72" t="n">
        <f aca="false">Cap_14!D17</f>
        <v>8200</v>
      </c>
      <c r="E584" s="73" t="str">
        <f aca="false">Cap_14!E17</f>
        <v>OK</v>
      </c>
    </row>
    <row r="585" customFormat="false" ht="15" hidden="false" customHeight="true" outlineLevel="0" collapsed="false">
      <c r="A585" s="71" t="s">
        <v>56</v>
      </c>
      <c r="B585" s="71" t="s">
        <v>1165</v>
      </c>
      <c r="C585" s="72" t="n">
        <f aca="false">Cap_14!B29</f>
        <v>105000</v>
      </c>
      <c r="D585" s="72" t="n">
        <f aca="false">Cap_14!D29</f>
        <v>105000</v>
      </c>
      <c r="E585" s="73" t="str">
        <f aca="false">Cap_14!E29</f>
        <v>OK</v>
      </c>
    </row>
    <row r="586" customFormat="false" ht="15" hidden="false" customHeight="true" outlineLevel="0" collapsed="false">
      <c r="A586" s="71" t="s">
        <v>56</v>
      </c>
      <c r="B586" s="71" t="s">
        <v>1180</v>
      </c>
      <c r="C586" s="72" t="n">
        <f aca="false">Cap_14!B46</f>
        <v>13</v>
      </c>
      <c r="D586" s="72" t="n">
        <f aca="false">Cap_14!D46</f>
        <v>13</v>
      </c>
      <c r="E586" s="73" t="str">
        <f aca="false">Cap_14!E46</f>
        <v>OK</v>
      </c>
    </row>
    <row r="587" customFormat="false" ht="15" hidden="false" customHeight="true" outlineLevel="0" collapsed="false">
      <c r="A587" s="71" t="s">
        <v>56</v>
      </c>
      <c r="B587" s="71" t="s">
        <v>1183</v>
      </c>
      <c r="C587" s="72" t="n">
        <f aca="false">Cap_14!B51</f>
        <v>250000</v>
      </c>
      <c r="D587" s="72" t="n">
        <f aca="false">Cap_14!D51</f>
        <v>250000</v>
      </c>
      <c r="E587" s="73" t="str">
        <f aca="false">Cap_14!E51</f>
        <v>OK</v>
      </c>
    </row>
    <row r="588" customFormat="false" ht="15" hidden="false" customHeight="true" outlineLevel="0" collapsed="false">
      <c r="A588" s="71" t="s">
        <v>56</v>
      </c>
      <c r="B588" s="71" t="s">
        <v>1184</v>
      </c>
      <c r="C588" s="72" t="n">
        <f aca="false">Cap_14!B52</f>
        <v>60000</v>
      </c>
      <c r="D588" s="72" t="n">
        <f aca="false">Cap_14!D52</f>
        <v>60000</v>
      </c>
      <c r="E588" s="73" t="str">
        <f aca="false">Cap_14!E52</f>
        <v>OK</v>
      </c>
    </row>
    <row r="589" customFormat="false" ht="15" hidden="false" customHeight="true" outlineLevel="0" collapsed="false">
      <c r="A589" s="71" t="s">
        <v>56</v>
      </c>
      <c r="B589" s="71" t="s">
        <v>1185</v>
      </c>
      <c r="C589" s="72" t="n">
        <f aca="false">Cap_14!B53</f>
        <v>130000</v>
      </c>
      <c r="D589" s="72" t="n">
        <f aca="false">Cap_14!D53</f>
        <v>130000</v>
      </c>
      <c r="E589" s="73" t="str">
        <f aca="false">Cap_14!E53</f>
        <v>OK</v>
      </c>
    </row>
    <row r="590" customFormat="false" ht="15" hidden="false" customHeight="true" outlineLevel="0" collapsed="false">
      <c r="A590" s="71" t="s">
        <v>56</v>
      </c>
      <c r="B590" s="71" t="s">
        <v>1186</v>
      </c>
      <c r="C590" s="72" t="n">
        <f aca="false">Cap_14!B54</f>
        <v>50000</v>
      </c>
      <c r="D590" s="72" t="n">
        <f aca="false">Cap_14!D54</f>
        <v>50000</v>
      </c>
      <c r="E590" s="73" t="str">
        <f aca="false">Cap_14!E54</f>
        <v>OK</v>
      </c>
    </row>
    <row r="591" customFormat="false" ht="15" hidden="false" customHeight="true" outlineLevel="0" collapsed="false">
      <c r="A591" s="71" t="s">
        <v>56</v>
      </c>
      <c r="B591" s="71" t="s">
        <v>1187</v>
      </c>
      <c r="C591" s="72" t="n">
        <f aca="false">Cap_14!B55</f>
        <v>275000</v>
      </c>
      <c r="D591" s="72" t="n">
        <f aca="false">Cap_14!D55</f>
        <v>275000</v>
      </c>
      <c r="E591" s="73" t="str">
        <f aca="false">Cap_14!E55</f>
        <v>OK</v>
      </c>
    </row>
    <row r="592" customFormat="false" ht="15" hidden="false" customHeight="true" outlineLevel="0" collapsed="false">
      <c r="A592" s="71" t="s">
        <v>56</v>
      </c>
      <c r="B592" s="71" t="s">
        <v>1188</v>
      </c>
      <c r="C592" s="72" t="n">
        <f aca="false">Cap_14!B56</f>
        <v>66000</v>
      </c>
      <c r="D592" s="72" t="n">
        <f aca="false">Cap_14!D56</f>
        <v>66000</v>
      </c>
      <c r="E592" s="73" t="str">
        <f aca="false">Cap_14!E56</f>
        <v>OK</v>
      </c>
    </row>
    <row r="593" customFormat="false" ht="15" hidden="false" customHeight="true" outlineLevel="0" collapsed="false">
      <c r="A593" s="71" t="s">
        <v>56</v>
      </c>
      <c r="B593" s="71" t="s">
        <v>1189</v>
      </c>
      <c r="C593" s="72" t="n">
        <f aca="false">Cap_14!B57</f>
        <v>143000</v>
      </c>
      <c r="D593" s="72" t="n">
        <f aca="false">Cap_14!D57</f>
        <v>143000</v>
      </c>
      <c r="E593" s="73" t="str">
        <f aca="false">Cap_14!E57</f>
        <v>OK</v>
      </c>
    </row>
    <row r="594" customFormat="false" ht="15" hidden="false" customHeight="true" outlineLevel="0" collapsed="false">
      <c r="A594" s="71" t="s">
        <v>56</v>
      </c>
      <c r="B594" s="71" t="s">
        <v>1190</v>
      </c>
      <c r="C594" s="72" t="n">
        <f aca="false">Cap_14!B58</f>
        <v>63000</v>
      </c>
      <c r="D594" s="72" t="n">
        <f aca="false">Cap_14!D58</f>
        <v>63000</v>
      </c>
      <c r="E594" s="73" t="str">
        <f aca="false">Cap_14!E58</f>
        <v>OK</v>
      </c>
    </row>
    <row r="595" customFormat="false" ht="15" hidden="false" customHeight="true" outlineLevel="0" collapsed="false">
      <c r="A595" s="71" t="s">
        <v>56</v>
      </c>
      <c r="B595" s="71" t="s">
        <v>1191</v>
      </c>
      <c r="C595" s="72" t="n">
        <f aca="false">Cap_14!B59</f>
        <v>269500</v>
      </c>
      <c r="D595" s="72" t="n">
        <f aca="false">Cap_14!D59</f>
        <v>269500</v>
      </c>
      <c r="E595" s="73" t="str">
        <f aca="false">Cap_14!E59</f>
        <v>OK</v>
      </c>
    </row>
    <row r="596" customFormat="false" ht="15" hidden="false" customHeight="true" outlineLevel="0" collapsed="false">
      <c r="A596" s="71" t="s">
        <v>56</v>
      </c>
      <c r="B596" s="71" t="s">
        <v>1192</v>
      </c>
      <c r="C596" s="72" t="n">
        <f aca="false">Cap_14!B60</f>
        <v>68200</v>
      </c>
      <c r="D596" s="72" t="n">
        <f aca="false">Cap_14!D60</f>
        <v>68200</v>
      </c>
      <c r="E596" s="73" t="str">
        <f aca="false">Cap_14!E60</f>
        <v>OK</v>
      </c>
    </row>
    <row r="597" customFormat="false" ht="15" hidden="false" customHeight="true" outlineLevel="0" collapsed="false">
      <c r="A597" s="71" t="s">
        <v>56</v>
      </c>
      <c r="B597" s="71" t="s">
        <v>1193</v>
      </c>
      <c r="C597" s="72" t="n">
        <f aca="false">Cap_14!B61</f>
        <v>72500</v>
      </c>
      <c r="D597" s="72" t="n">
        <f aca="false">Cap_14!D61</f>
        <v>72500</v>
      </c>
      <c r="E597" s="73" t="str">
        <f aca="false">Cap_14!E61</f>
        <v>OK</v>
      </c>
    </row>
    <row r="598" customFormat="false" ht="15" hidden="false" customHeight="true" outlineLevel="0" collapsed="false">
      <c r="A598" s="71" t="s">
        <v>56</v>
      </c>
      <c r="B598" s="71" t="s">
        <v>1194</v>
      </c>
      <c r="C598" s="72" t="n">
        <f aca="false">Cap_14!B62</f>
        <v>128800</v>
      </c>
      <c r="D598" s="72" t="n">
        <f aca="false">Cap_14!D62</f>
        <v>128800</v>
      </c>
      <c r="E598" s="73" t="str">
        <f aca="false">Cap_14!E62</f>
        <v>OK</v>
      </c>
    </row>
    <row r="599" customFormat="false" ht="15" hidden="false" customHeight="true" outlineLevel="0" collapsed="false">
      <c r="A599" s="71" t="s">
        <v>56</v>
      </c>
      <c r="B599" s="71" t="s">
        <v>1195</v>
      </c>
      <c r="C599" s="72" t="n">
        <f aca="false">Cap_14!B63</f>
        <v>46800</v>
      </c>
      <c r="D599" s="72" t="n">
        <f aca="false">Cap_14!D63</f>
        <v>46800</v>
      </c>
      <c r="E599" s="73" t="str">
        <f aca="false">Cap_14!E63</f>
        <v>OK</v>
      </c>
    </row>
    <row r="600" customFormat="false" ht="15" hidden="false" customHeight="true" outlineLevel="0" collapsed="false">
      <c r="A600" s="71" t="s">
        <v>56</v>
      </c>
      <c r="B600" s="71" t="s">
        <v>1198</v>
      </c>
      <c r="C600" s="72" t="n">
        <f aca="false">Cap_14!B68</f>
        <v>22000</v>
      </c>
      <c r="D600" s="72" t="n">
        <f aca="false">Cap_14!D68</f>
        <v>22000</v>
      </c>
      <c r="E600" s="73" t="str">
        <f aca="false">Cap_14!E68</f>
        <v>OK</v>
      </c>
    </row>
    <row r="601" customFormat="false" ht="15" hidden="false" customHeight="true" outlineLevel="0" collapsed="false">
      <c r="A601" s="71" t="s">
        <v>56</v>
      </c>
      <c r="B601" s="71" t="s">
        <v>1199</v>
      </c>
      <c r="C601" s="72" t="n">
        <f aca="false">Cap_14!B69</f>
        <v>2750</v>
      </c>
      <c r="D601" s="72" t="n">
        <f aca="false">Cap_14!D69</f>
        <v>2750</v>
      </c>
      <c r="E601" s="73" t="str">
        <f aca="false">Cap_14!E69</f>
        <v>OK</v>
      </c>
    </row>
    <row r="602" customFormat="false" ht="15" hidden="false" customHeight="true" outlineLevel="0" collapsed="false">
      <c r="A602" s="71" t="s">
        <v>56</v>
      </c>
      <c r="B602" s="71" t="s">
        <v>1160</v>
      </c>
      <c r="C602" s="72" t="n">
        <f aca="false">Cap_14!B70</f>
        <v>13000</v>
      </c>
      <c r="D602" s="72" t="n">
        <f aca="false">Cap_14!D70</f>
        <v>13000</v>
      </c>
      <c r="E602" s="73" t="str">
        <f aca="false">Cap_14!E70</f>
        <v>OK</v>
      </c>
    </row>
    <row r="603" customFormat="false" ht="15" hidden="false" customHeight="true" outlineLevel="0" collapsed="false">
      <c r="A603" s="71" t="s">
        <v>56</v>
      </c>
      <c r="B603" s="71" t="s">
        <v>1200</v>
      </c>
      <c r="C603" s="72" t="n">
        <f aca="false">Cap_14!B71</f>
        <v>-5500</v>
      </c>
      <c r="D603" s="72" t="n">
        <f aca="false">Cap_14!D71</f>
        <v>-5500</v>
      </c>
      <c r="E603" s="73" t="str">
        <f aca="false">Cap_14!E71</f>
        <v>OK</v>
      </c>
    </row>
    <row r="604" customFormat="false" ht="15" hidden="false" customHeight="true" outlineLevel="0" collapsed="false">
      <c r="A604" s="71" t="s">
        <v>56</v>
      </c>
      <c r="B604" s="71" t="s">
        <v>1201</v>
      </c>
      <c r="C604" s="72" t="n">
        <f aca="false">Cap_14!B72</f>
        <v>6200</v>
      </c>
      <c r="D604" s="72" t="n">
        <f aca="false">Cap_14!D72</f>
        <v>6200</v>
      </c>
      <c r="E604" s="73" t="str">
        <f aca="false">Cap_14!E72</f>
        <v>OK</v>
      </c>
    </row>
    <row r="605" customFormat="false" ht="15" hidden="false" customHeight="true" outlineLevel="0" collapsed="false">
      <c r="A605" s="71" t="s">
        <v>56</v>
      </c>
      <c r="B605" s="71" t="s">
        <v>1202</v>
      </c>
      <c r="C605" s="72" t="n">
        <f aca="false">Cap_14!B73</f>
        <v>-8400</v>
      </c>
      <c r="D605" s="72" t="n">
        <f aca="false">Cap_14!D73</f>
        <v>-8400</v>
      </c>
      <c r="E605" s="73" t="str">
        <f aca="false">Cap_14!E73</f>
        <v>OK</v>
      </c>
    </row>
    <row r="606" customFormat="false" ht="15" hidden="false" customHeight="true" outlineLevel="0" collapsed="false">
      <c r="A606" s="71" t="s">
        <v>56</v>
      </c>
      <c r="B606" s="71" t="s">
        <v>1203</v>
      </c>
      <c r="C606" s="72" t="n">
        <f aca="false">Cap_14!B74</f>
        <v>-2900</v>
      </c>
      <c r="D606" s="72" t="n">
        <f aca="false">Cap_14!D74</f>
        <v>-2900</v>
      </c>
      <c r="E606" s="73" t="str">
        <f aca="false">Cap_14!E74</f>
        <v>OK</v>
      </c>
    </row>
    <row r="607" customFormat="false" ht="15" hidden="false" customHeight="true" outlineLevel="0" collapsed="false">
      <c r="A607" s="71" t="s">
        <v>56</v>
      </c>
      <c r="B607" s="71" t="s">
        <v>1204</v>
      </c>
      <c r="C607" s="72" t="n">
        <f aca="false">Cap_14!B75</f>
        <v>-3600</v>
      </c>
      <c r="D607" s="72" t="n">
        <f aca="false">Cap_14!D75</f>
        <v>-3600</v>
      </c>
      <c r="E607" s="73" t="str">
        <f aca="false">Cap_14!E75</f>
        <v>OK</v>
      </c>
    </row>
    <row r="608" customFormat="false" ht="15" hidden="false" customHeight="true" outlineLevel="0" collapsed="false">
      <c r="A608" s="71" t="s">
        <v>56</v>
      </c>
      <c r="B608" s="71" t="s">
        <v>1205</v>
      </c>
      <c r="C608" s="72" t="n">
        <f aca="false">Cap_14!B76</f>
        <v>-2000</v>
      </c>
      <c r="D608" s="72" t="n">
        <f aca="false">Cap_14!D76</f>
        <v>-2000</v>
      </c>
      <c r="E608" s="73" t="str">
        <f aca="false">Cap_14!E76</f>
        <v>OK</v>
      </c>
    </row>
    <row r="609" customFormat="false" ht="15" hidden="false" customHeight="true" outlineLevel="0" collapsed="false">
      <c r="A609" s="71" t="s">
        <v>56</v>
      </c>
      <c r="B609" s="71" t="s">
        <v>1206</v>
      </c>
      <c r="C609" s="72" t="n">
        <f aca="false">Cap_14!B77</f>
        <v>-3200</v>
      </c>
      <c r="D609" s="72" t="n">
        <f aca="false">Cap_14!D77</f>
        <v>-3200</v>
      </c>
      <c r="E609" s="73" t="str">
        <f aca="false">Cap_14!E77</f>
        <v>OK</v>
      </c>
    </row>
    <row r="610" customFormat="false" ht="15" hidden="false" customHeight="true" outlineLevel="0" collapsed="false">
      <c r="A610" s="71" t="s">
        <v>56</v>
      </c>
      <c r="B610" s="71" t="s">
        <v>1207</v>
      </c>
      <c r="C610" s="71" t="str">
        <f aca="false">Cap_14!B78</f>
        <v>Quadra</v>
      </c>
      <c r="D610" s="71" t="str">
        <f aca="false">Cap_14!D78</f>
        <v>Quadra</v>
      </c>
      <c r="E610" s="73" t="str">
        <f aca="false">Cap_14!E78</f>
        <v>OK</v>
      </c>
    </row>
    <row r="611" customFormat="false" ht="15" hidden="false" customHeight="true" outlineLevel="0" collapsed="false">
      <c r="A611" s="71" t="s">
        <v>56</v>
      </c>
      <c r="B611" s="71" t="s">
        <v>1208</v>
      </c>
      <c r="C611" s="72" t="n">
        <f aca="false">Cap_14!B79</f>
        <v>-16200</v>
      </c>
      <c r="D611" s="72" t="n">
        <f aca="false">Cap_14!D79</f>
        <v>-16200</v>
      </c>
      <c r="E611" s="73" t="str">
        <f aca="false">Cap_14!E79</f>
        <v>OK</v>
      </c>
    </row>
    <row r="612" customFormat="false" ht="15" hidden="false" customHeight="true" outlineLevel="0" collapsed="false">
      <c r="A612" s="71" t="s">
        <v>56</v>
      </c>
      <c r="B612" s="71" t="s">
        <v>1211</v>
      </c>
      <c r="C612" s="72" t="n">
        <f aca="false">Cap_14!B84</f>
        <v>63</v>
      </c>
      <c r="D612" s="72" t="n">
        <f aca="false">Cap_14!D84</f>
        <v>63</v>
      </c>
      <c r="E612" s="73" t="str">
        <f aca="false">Cap_14!E84</f>
        <v>OK</v>
      </c>
    </row>
    <row r="613" customFormat="false" ht="15" hidden="false" customHeight="true" outlineLevel="0" collapsed="false">
      <c r="A613" s="71" t="s">
        <v>56</v>
      </c>
      <c r="B613" s="71" t="s">
        <v>1212</v>
      </c>
      <c r="C613" s="72" t="n">
        <f aca="false">Cap_14!B85</f>
        <v>42</v>
      </c>
      <c r="D613" s="72" t="n">
        <f aca="false">Cap_14!D85</f>
        <v>42</v>
      </c>
      <c r="E613" s="73" t="str">
        <f aca="false">Cap_14!E85</f>
        <v>OK</v>
      </c>
    </row>
    <row r="614" customFormat="false" ht="15" hidden="false" customHeight="true" outlineLevel="0" collapsed="false">
      <c r="A614" s="71" t="s">
        <v>56</v>
      </c>
      <c r="B614" s="71" t="s">
        <v>1213</v>
      </c>
      <c r="C614" s="72" t="n">
        <f aca="false">Cap_14!B86</f>
        <v>51</v>
      </c>
      <c r="D614" s="72" t="n">
        <f aca="false">Cap_14!D86</f>
        <v>51</v>
      </c>
      <c r="E614" s="73" t="str">
        <f aca="false">Cap_14!E86</f>
        <v>OK</v>
      </c>
    </row>
    <row r="615" customFormat="false" ht="15" hidden="false" customHeight="true" outlineLevel="0" collapsed="false">
      <c r="A615" s="71" t="s">
        <v>56</v>
      </c>
      <c r="B615" s="71" t="s">
        <v>1214</v>
      </c>
      <c r="C615" s="72" t="n">
        <f aca="false">Cap_14!B87</f>
        <v>90000</v>
      </c>
      <c r="D615" s="72" t="n">
        <f aca="false">Cap_14!D87</f>
        <v>90000</v>
      </c>
      <c r="E615" s="73" t="str">
        <f aca="false">Cap_14!E87</f>
        <v>OK</v>
      </c>
    </row>
    <row r="616" customFormat="false" ht="15" hidden="false" customHeight="true" outlineLevel="0" collapsed="false">
      <c r="A616" s="71" t="s">
        <v>56</v>
      </c>
      <c r="B616" s="71" t="s">
        <v>1215</v>
      </c>
      <c r="C616" s="72" t="n">
        <f aca="false">Cap_14!B88</f>
        <v>20800</v>
      </c>
      <c r="D616" s="72" t="n">
        <f aca="false">Cap_14!D88</f>
        <v>20800</v>
      </c>
      <c r="E616" s="73" t="str">
        <f aca="false">Cap_14!E88</f>
        <v>OK</v>
      </c>
    </row>
    <row r="617" customFormat="false" ht="15" hidden="false" customHeight="true" outlineLevel="0" collapsed="false">
      <c r="A617" s="71" t="s">
        <v>56</v>
      </c>
      <c r="B617" s="71" t="s">
        <v>1225</v>
      </c>
      <c r="C617" s="72" t="n">
        <f aca="false">Cap_14!B98</f>
        <v>1870</v>
      </c>
      <c r="D617" s="72" t="n">
        <f aca="false">Cap_14!D98</f>
        <v>1870</v>
      </c>
      <c r="E617" s="73" t="str">
        <f aca="false">Cap_14!E98</f>
        <v>OK</v>
      </c>
    </row>
    <row r="618" customFormat="false" ht="15" hidden="false" customHeight="true" outlineLevel="0" collapsed="false">
      <c r="A618" s="71" t="s">
        <v>56</v>
      </c>
      <c r="B618" s="71" t="s">
        <v>1226</v>
      </c>
      <c r="C618" s="72" t="n">
        <f aca="false">Cap_14!B99</f>
        <v>282530</v>
      </c>
      <c r="D618" s="72" t="n">
        <f aca="false">Cap_14!D99</f>
        <v>282530</v>
      </c>
      <c r="E618" s="73" t="str">
        <f aca="false">Cap_14!E99</f>
        <v>OK</v>
      </c>
    </row>
    <row r="619" customFormat="false" ht="15" hidden="false" customHeight="true" outlineLevel="0" collapsed="false">
      <c r="A619" s="71" t="s">
        <v>56</v>
      </c>
      <c r="B619" s="71" t="s">
        <v>1227</v>
      </c>
      <c r="C619" s="72" t="n">
        <f aca="false">Cap_14!B100</f>
        <v>88270</v>
      </c>
      <c r="D619" s="72" t="n">
        <f aca="false">Cap_14!D100</f>
        <v>88270</v>
      </c>
      <c r="E619" s="73" t="str">
        <f aca="false">Cap_14!E100</f>
        <v>OK</v>
      </c>
    </row>
    <row r="620" customFormat="false" ht="15" hidden="false" customHeight="true" outlineLevel="0" collapsed="false">
      <c r="A620" s="71" t="s">
        <v>56</v>
      </c>
      <c r="B620" s="71" t="s">
        <v>1228</v>
      </c>
      <c r="C620" s="72" t="n">
        <f aca="false">Cap_14!B101</f>
        <v>68400</v>
      </c>
      <c r="D620" s="72" t="n">
        <f aca="false">Cap_14!D101</f>
        <v>68400</v>
      </c>
      <c r="E620" s="73" t="str">
        <f aca="false">Cap_14!E101</f>
        <v>OK</v>
      </c>
    </row>
    <row r="621" customFormat="false" ht="15" hidden="false" customHeight="true" outlineLevel="0" collapsed="false">
      <c r="A621" s="71" t="s">
        <v>56</v>
      </c>
      <c r="B621" s="71" t="s">
        <v>1229</v>
      </c>
      <c r="C621" s="72" t="n">
        <f aca="false">Cap_14!B102</f>
        <v>19870</v>
      </c>
      <c r="D621" s="72" t="n">
        <f aca="false">Cap_14!D102</f>
        <v>19870</v>
      </c>
      <c r="E621" s="73" t="str">
        <f aca="false">Cap_14!E102</f>
        <v>OK</v>
      </c>
    </row>
    <row r="622" customFormat="false" ht="15" hidden="false" customHeight="true" outlineLevel="0" collapsed="false">
      <c r="A622" s="71" t="s">
        <v>56</v>
      </c>
      <c r="B622" s="71" t="s">
        <v>1230</v>
      </c>
      <c r="C622" s="72" t="n">
        <f aca="false">Cap_14!B103</f>
        <v>-930</v>
      </c>
      <c r="D622" s="72" t="n">
        <f aca="false">Cap_14!D103</f>
        <v>-930</v>
      </c>
      <c r="E622" s="73" t="str">
        <f aca="false">Cap_14!E103</f>
        <v>OK</v>
      </c>
    </row>
    <row r="623" customFormat="false" ht="15" hidden="false" customHeight="true" outlineLevel="0" collapsed="false">
      <c r="A623" s="71" t="s">
        <v>56</v>
      </c>
      <c r="B623" s="71" t="s">
        <v>1231</v>
      </c>
      <c r="C623" s="72" t="n">
        <f aca="false">Cap_14!B104</f>
        <v>-1730</v>
      </c>
      <c r="D623" s="72" t="n">
        <f aca="false">Cap_14!D104</f>
        <v>-1730</v>
      </c>
      <c r="E623" s="73" t="str">
        <f aca="false">Cap_14!E104</f>
        <v>OK</v>
      </c>
    </row>
    <row r="624" customFormat="false" ht="15" hidden="false" customHeight="true" outlineLevel="0" collapsed="false">
      <c r="A624" s="71" t="s">
        <v>56</v>
      </c>
      <c r="B624" s="71" t="s">
        <v>1233</v>
      </c>
      <c r="C624" s="76" t="n">
        <f aca="false">Cap_14!B105</f>
        <v>0.317124735729387</v>
      </c>
      <c r="D624" s="76" t="n">
        <f aca="false">Cap_14!D105</f>
        <v>0.317</v>
      </c>
      <c r="E624" s="73" t="str">
        <f aca="false">Cap_14!E105</f>
        <v>OK</v>
      </c>
    </row>
    <row r="625" customFormat="false" ht="15" hidden="false" customHeight="true" outlineLevel="0" collapsed="false">
      <c r="A625" s="71" t="s">
        <v>56</v>
      </c>
      <c r="B625" s="71" t="s">
        <v>1234</v>
      </c>
      <c r="C625" s="76" t="n">
        <f aca="false">Cap_14!B106</f>
        <v>0.312426998902771</v>
      </c>
      <c r="D625" s="76" t="n">
        <f aca="false">Cap_14!D106</f>
        <v>0.312</v>
      </c>
      <c r="E625" s="73" t="str">
        <f aca="false">Cap_14!E106</f>
        <v>OK</v>
      </c>
    </row>
    <row r="626" customFormat="false" ht="15" hidden="false" customHeight="true" outlineLevel="0" collapsed="false">
      <c r="A626" s="71" t="s">
        <v>56</v>
      </c>
      <c r="B626" s="71" t="s">
        <v>1237</v>
      </c>
      <c r="C626" s="72" t="n">
        <f aca="false">Cap_14!B111</f>
        <v>286930</v>
      </c>
      <c r="D626" s="72" t="n">
        <f aca="false">Cap_14!D111</f>
        <v>286930</v>
      </c>
      <c r="E626" s="73" t="str">
        <f aca="false">Cap_14!E111</f>
        <v>OK</v>
      </c>
    </row>
    <row r="627" customFormat="false" ht="15" hidden="false" customHeight="true" outlineLevel="0" collapsed="false">
      <c r="A627" s="71" t="s">
        <v>56</v>
      </c>
      <c r="B627" s="71" t="s">
        <v>1238</v>
      </c>
      <c r="C627" s="72" t="n">
        <f aca="false">Cap_14!B112</f>
        <v>194260</v>
      </c>
      <c r="D627" s="72" t="n">
        <f aca="false">Cap_14!D112</f>
        <v>194260</v>
      </c>
      <c r="E627" s="73" t="str">
        <f aca="false">Cap_14!E112</f>
        <v>OK</v>
      </c>
    </row>
    <row r="628" customFormat="false" ht="15" hidden="false" customHeight="true" outlineLevel="0" collapsed="false">
      <c r="A628" s="71" t="s">
        <v>56</v>
      </c>
      <c r="B628" s="71" t="s">
        <v>1239</v>
      </c>
      <c r="C628" s="72" t="n">
        <f aca="false">Cap_14!B113</f>
        <v>92670</v>
      </c>
      <c r="D628" s="72" t="n">
        <f aca="false">Cap_14!D113</f>
        <v>92670</v>
      </c>
      <c r="E628" s="73" t="str">
        <f aca="false">Cap_14!E113</f>
        <v>OK</v>
      </c>
    </row>
    <row r="629" customFormat="false" ht="15" hidden="false" customHeight="true" outlineLevel="0" collapsed="false">
      <c r="A629" s="71" t="s">
        <v>56</v>
      </c>
      <c r="B629" s="71" t="s">
        <v>1240</v>
      </c>
      <c r="C629" s="72" t="n">
        <f aca="false">Cap_14!B114</f>
        <v>2670</v>
      </c>
      <c r="D629" s="72" t="n">
        <f aca="false">Cap_14!D114</f>
        <v>2670</v>
      </c>
      <c r="E629" s="73" t="str">
        <f aca="false">Cap_14!E114</f>
        <v>OK</v>
      </c>
    </row>
    <row r="630" customFormat="false" ht="15" hidden="false" customHeight="true" outlineLevel="0" collapsed="false">
      <c r="A630" s="71" t="s">
        <v>56</v>
      </c>
      <c r="B630" s="71" t="s">
        <v>1241</v>
      </c>
      <c r="C630" s="72" t="n">
        <f aca="false">Cap_14!B115</f>
        <v>50</v>
      </c>
      <c r="D630" s="72" t="n">
        <f aca="false">Cap_14!D115</f>
        <v>50</v>
      </c>
      <c r="E630" s="73" t="str">
        <f aca="false">Cap_14!E115</f>
        <v>OK</v>
      </c>
    </row>
    <row r="631" customFormat="false" ht="15" hidden="false" customHeight="true" outlineLevel="0" collapsed="false">
      <c r="A631" s="71" t="s">
        <v>56</v>
      </c>
      <c r="B631" s="71" t="s">
        <v>1242</v>
      </c>
      <c r="C631" s="72" t="n">
        <f aca="false">Cap_14!B116</f>
        <v>93500</v>
      </c>
      <c r="D631" s="72" t="n">
        <f aca="false">Cap_14!D116</f>
        <v>93500</v>
      </c>
      <c r="E631" s="73" t="str">
        <f aca="false">Cap_14!E116</f>
        <v>OK</v>
      </c>
    </row>
    <row r="632" customFormat="false" ht="15" hidden="false" customHeight="true" outlineLevel="0" collapsed="false">
      <c r="A632" s="71" t="s">
        <v>56</v>
      </c>
      <c r="B632" s="71" t="s">
        <v>1243</v>
      </c>
      <c r="C632" s="72" t="n">
        <f aca="false">Cap_14!B117</f>
        <v>3500</v>
      </c>
      <c r="D632" s="72" t="n">
        <f aca="false">Cap_14!D117</f>
        <v>3500</v>
      </c>
      <c r="E632" s="73" t="str">
        <f aca="false">Cap_14!E117</f>
        <v>OK</v>
      </c>
    </row>
    <row r="633" customFormat="false" ht="15" hidden="false" customHeight="true" outlineLevel="0" collapsed="false">
      <c r="A633" s="71" t="s">
        <v>56</v>
      </c>
      <c r="B633" s="71" t="s">
        <v>1247</v>
      </c>
      <c r="C633" s="72" t="n">
        <f aca="false">Cap_14!B121</f>
        <v>-830.000000000003</v>
      </c>
      <c r="D633" s="72" t="n">
        <f aca="false">Cap_14!D121</f>
        <v>-830</v>
      </c>
      <c r="E633" s="73" t="str">
        <f aca="false">Cap_14!E121</f>
        <v>OK</v>
      </c>
    </row>
    <row r="634" customFormat="false" ht="15" hidden="false" customHeight="true" outlineLevel="0" collapsed="false">
      <c r="A634" s="71" t="s">
        <v>56</v>
      </c>
      <c r="B634" s="71" t="s">
        <v>1248</v>
      </c>
      <c r="C634" s="71" t="str">
        <f aca="false">Cap_14!B122</f>
        <v>Quadra</v>
      </c>
      <c r="D634" s="71" t="str">
        <f aca="false">Cap_14!D122</f>
        <v>Quadra</v>
      </c>
      <c r="E634" s="73" t="str">
        <f aca="false">Cap_14!E122</f>
        <v>OK</v>
      </c>
    </row>
    <row r="635" customFormat="false" ht="15" hidden="false" customHeight="true" outlineLevel="0" collapsed="false">
      <c r="A635" s="71" t="s">
        <v>56</v>
      </c>
      <c r="B635" s="71" t="s">
        <v>1251</v>
      </c>
      <c r="C635" s="72" t="n">
        <f aca="false">Cap_14!B127</f>
        <v>-4400</v>
      </c>
      <c r="D635" s="72" t="n">
        <f aca="false">Cap_14!D127</f>
        <v>-4400</v>
      </c>
      <c r="E635" s="73" t="str">
        <f aca="false">Cap_14!E127</f>
        <v>OK</v>
      </c>
    </row>
    <row r="636" customFormat="false" ht="15" hidden="false" customHeight="true" outlineLevel="0" collapsed="false">
      <c r="A636" s="71" t="s">
        <v>56</v>
      </c>
      <c r="B636" s="71" t="s">
        <v>1252</v>
      </c>
      <c r="C636" s="72" t="n">
        <f aca="false">Cap_14!B128</f>
        <v>0</v>
      </c>
      <c r="D636" s="72" t="n">
        <f aca="false">Cap_14!D128</f>
        <v>0</v>
      </c>
      <c r="E636" s="73" t="str">
        <f aca="false">Cap_14!E128</f>
        <v>OK</v>
      </c>
    </row>
    <row r="637" customFormat="false" ht="15" hidden="false" customHeight="true" outlineLevel="0" collapsed="false">
      <c r="A637" s="71" t="s">
        <v>56</v>
      </c>
      <c r="B637" s="71" t="s">
        <v>1199</v>
      </c>
      <c r="C637" s="72" t="n">
        <f aca="false">Cap_14!B129</f>
        <v>1960</v>
      </c>
      <c r="D637" s="72" t="n">
        <f aca="false">Cap_14!D129</f>
        <v>1960</v>
      </c>
      <c r="E637" s="73" t="str">
        <f aca="false">Cap_14!E129</f>
        <v>OK</v>
      </c>
    </row>
    <row r="638" customFormat="false" ht="15" hidden="false" customHeight="true" outlineLevel="0" collapsed="false">
      <c r="A638" s="71" t="s">
        <v>56</v>
      </c>
      <c r="B638" s="71" t="s">
        <v>1253</v>
      </c>
      <c r="C638" s="72" t="n">
        <f aca="false">Cap_14!B130</f>
        <v>210</v>
      </c>
      <c r="D638" s="72" t="n">
        <f aca="false">Cap_14!D130</f>
        <v>210</v>
      </c>
      <c r="E638" s="73" t="str">
        <f aca="false">Cap_14!E130</f>
        <v>OK</v>
      </c>
    </row>
    <row r="639" customFormat="false" ht="15" hidden="false" customHeight="true" outlineLevel="0" collapsed="false">
      <c r="A639" s="71" t="s">
        <v>56</v>
      </c>
      <c r="B639" s="71" t="s">
        <v>1254</v>
      </c>
      <c r="C639" s="72" t="n">
        <f aca="false">Cap_14!B131</f>
        <v>5880</v>
      </c>
      <c r="D639" s="72" t="n">
        <f aca="false">Cap_14!D131</f>
        <v>5880</v>
      </c>
      <c r="E639" s="73" t="str">
        <f aca="false">Cap_14!E131</f>
        <v>OK</v>
      </c>
    </row>
    <row r="640" customFormat="false" ht="15" hidden="false" customHeight="true" outlineLevel="0" collapsed="false">
      <c r="A640" s="71" t="s">
        <v>56</v>
      </c>
      <c r="B640" s="71" t="s">
        <v>1257</v>
      </c>
      <c r="C640" s="72" t="n">
        <f aca="false">Cap_14!B134</f>
        <v>1484</v>
      </c>
      <c r="D640" s="72" t="n">
        <f aca="false">Cap_14!D134</f>
        <v>1484</v>
      </c>
      <c r="E640" s="73" t="str">
        <f aca="false">Cap_14!E134</f>
        <v>OK</v>
      </c>
    </row>
    <row r="641" customFormat="false" ht="15" hidden="false" customHeight="true" outlineLevel="0" collapsed="false">
      <c r="A641" s="71" t="s">
        <v>56</v>
      </c>
      <c r="B641" s="71" t="s">
        <v>1258</v>
      </c>
      <c r="C641" s="72" t="n">
        <f aca="false">Cap_14!B135</f>
        <v>1120</v>
      </c>
      <c r="D641" s="72" t="n">
        <f aca="false">Cap_14!D135</f>
        <v>1120</v>
      </c>
      <c r="E641" s="73" t="str">
        <f aca="false">Cap_14!E135</f>
        <v>OK</v>
      </c>
    </row>
    <row r="642" customFormat="false" ht="15" hidden="false" customHeight="true" outlineLevel="0" collapsed="false">
      <c r="A642" s="71" t="s">
        <v>56</v>
      </c>
      <c r="B642" s="71" t="s">
        <v>1259</v>
      </c>
      <c r="C642" s="72" t="n">
        <f aca="false">Cap_14!B136</f>
        <v>13</v>
      </c>
      <c r="D642" s="72" t="n">
        <f aca="false">Cap_14!D136</f>
        <v>13</v>
      </c>
      <c r="E642" s="73" t="str">
        <f aca="false">Cap_14!E136</f>
        <v>OK</v>
      </c>
    </row>
    <row r="643" customFormat="false" ht="15" hidden="false" customHeight="true" outlineLevel="0" collapsed="false">
      <c r="A643" s="71" t="s">
        <v>56</v>
      </c>
      <c r="B643" s="71" t="s">
        <v>1260</v>
      </c>
      <c r="C643" s="76" t="n">
        <f aca="false">Cap_14!B137</f>
        <v>0.00663265306122449</v>
      </c>
      <c r="D643" s="76" t="n">
        <f aca="false">Cap_14!D137</f>
        <v>0.007</v>
      </c>
      <c r="E643" s="73" t="str">
        <f aca="false">Cap_14!E137</f>
        <v>OK</v>
      </c>
    </row>
    <row r="644" customFormat="false" ht="15" hidden="false" customHeight="true" outlineLevel="0" collapsed="false">
      <c r="A644" s="71" t="s">
        <v>56</v>
      </c>
      <c r="B644" s="71" t="s">
        <v>1261</v>
      </c>
      <c r="C644" s="72" t="n">
        <f aca="false">Cap_14!B138</f>
        <v>28</v>
      </c>
      <c r="D644" s="72" t="n">
        <f aca="false">Cap_14!D138</f>
        <v>28</v>
      </c>
      <c r="E644" s="73" t="str">
        <f aca="false">Cap_14!E138</f>
        <v>OK</v>
      </c>
    </row>
    <row r="645" customFormat="false" ht="15" hidden="false" customHeight="true" outlineLevel="0" collapsed="false">
      <c r="A645" s="71" t="s">
        <v>56</v>
      </c>
      <c r="B645" s="71" t="s">
        <v>1262</v>
      </c>
      <c r="C645" s="72" t="n">
        <f aca="false">Cap_14!B139</f>
        <v>0</v>
      </c>
      <c r="D645" s="72" t="n">
        <f aca="false">Cap_14!D139</f>
        <v>0</v>
      </c>
      <c r="E645" s="73" t="str">
        <f aca="false">Cap_14!E139</f>
        <v>OK</v>
      </c>
    </row>
    <row r="646" customFormat="false" ht="15" hidden="false" customHeight="true" outlineLevel="0" collapsed="false">
      <c r="A646" s="71" t="s">
        <v>56</v>
      </c>
      <c r="B646" s="71" t="s">
        <v>1263</v>
      </c>
      <c r="C646" s="72" t="n">
        <f aca="false">Cap_14!B140</f>
        <v>-364</v>
      </c>
      <c r="D646" s="72" t="n">
        <f aca="false">Cap_14!D140</f>
        <v>-364</v>
      </c>
      <c r="E646" s="73" t="str">
        <f aca="false">Cap_14!E140</f>
        <v>OK</v>
      </c>
    </row>
    <row r="647" customFormat="false" ht="15" hidden="false" customHeight="true" outlineLevel="0" collapsed="false">
      <c r="A647" s="71" t="s">
        <v>56</v>
      </c>
      <c r="B647" s="71" t="s">
        <v>1264</v>
      </c>
      <c r="C647" s="72" t="n">
        <f aca="false">Cap_14!B141</f>
        <v>1484</v>
      </c>
      <c r="D647" s="72" t="n">
        <f aca="false">Cap_14!D141</f>
        <v>1484</v>
      </c>
      <c r="E647" s="73" t="str">
        <f aca="false">Cap_14!E141</f>
        <v>OK</v>
      </c>
    </row>
    <row r="648" customFormat="false" ht="15" hidden="false" customHeight="true" outlineLevel="0" collapsed="false">
      <c r="A648" s="71" t="s">
        <v>56</v>
      </c>
      <c r="B648" s="71" t="s">
        <v>1267</v>
      </c>
      <c r="C648" s="72" t="n">
        <f aca="false">Cap_14!B146</f>
        <v>-684</v>
      </c>
      <c r="D648" s="72" t="n">
        <f aca="false">Cap_14!D146</f>
        <v>-684</v>
      </c>
      <c r="E648" s="73" t="str">
        <f aca="false">Cap_14!E146</f>
        <v>OK</v>
      </c>
    </row>
    <row r="649" customFormat="false" ht="15" hidden="false" customHeight="true" outlineLevel="0" collapsed="false">
      <c r="A649" s="71" t="s">
        <v>56</v>
      </c>
      <c r="B649" s="71" t="s">
        <v>1268</v>
      </c>
      <c r="C649" s="72" t="n">
        <f aca="false">Cap_14!B147</f>
        <v>-930.000000000003</v>
      </c>
      <c r="D649" s="72" t="n">
        <f aca="false">Cap_14!D147</f>
        <v>-930</v>
      </c>
      <c r="E649" s="73" t="str">
        <f aca="false">Cap_14!E147</f>
        <v>OK</v>
      </c>
    </row>
    <row r="650" customFormat="false" ht="15" hidden="false" customHeight="true" outlineLevel="0" collapsed="false">
      <c r="A650" s="71" t="s">
        <v>56</v>
      </c>
      <c r="B650" s="71" t="s">
        <v>1269</v>
      </c>
      <c r="C650" s="71" t="str">
        <f aca="false">Cap_14!B148</f>
        <v>Quadra</v>
      </c>
      <c r="D650" s="71" t="str">
        <f aca="false">Cap_14!D148</f>
        <v>Quadra</v>
      </c>
      <c r="E650" s="73" t="str">
        <f aca="false">Cap_14!E148</f>
        <v>OK</v>
      </c>
    </row>
    <row r="651" customFormat="false" ht="15" hidden="false" customHeight="true" outlineLevel="0" collapsed="false">
      <c r="A651" s="71" t="s">
        <v>56</v>
      </c>
      <c r="B651" s="71" t="s">
        <v>1270</v>
      </c>
      <c r="C651" s="72" t="n">
        <f aca="false">Cap_14!B149</f>
        <v>11800</v>
      </c>
      <c r="D651" s="72" t="n">
        <f aca="false">Cap_14!D149</f>
        <v>11800</v>
      </c>
      <c r="E651" s="73" t="str">
        <f aca="false">Cap_14!E149</f>
        <v>OK</v>
      </c>
    </row>
    <row r="652" customFormat="false" ht="15" hidden="false" customHeight="true" outlineLevel="0" collapsed="false">
      <c r="A652" s="71" t="s">
        <v>56</v>
      </c>
      <c r="B652" s="71" t="s">
        <v>1271</v>
      </c>
      <c r="C652" s="72" t="n">
        <f aca="false">Cap_14!B150</f>
        <v>-8670</v>
      </c>
      <c r="D652" s="72" t="n">
        <f aca="false">Cap_14!D150</f>
        <v>-8670</v>
      </c>
      <c r="E652" s="73" t="str">
        <f aca="false">Cap_14!E150</f>
        <v>OK</v>
      </c>
    </row>
    <row r="653" customFormat="false" ht="15" hidden="false" customHeight="true" outlineLevel="0" collapsed="false">
      <c r="A653" s="71" t="s">
        <v>56</v>
      </c>
      <c r="B653" s="71" t="s">
        <v>1272</v>
      </c>
      <c r="C653" s="72" t="n">
        <f aca="false">Cap_14!B151</f>
        <v>0</v>
      </c>
      <c r="D653" s="72" t="n">
        <f aca="false">Cap_14!D151</f>
        <v>0</v>
      </c>
      <c r="E653" s="73" t="str">
        <f aca="false">Cap_14!E151</f>
        <v>OK</v>
      </c>
    </row>
    <row r="654" customFormat="false" ht="15" hidden="false" customHeight="true" outlineLevel="0" collapsed="false">
      <c r="A654" s="71" t="s">
        <v>56</v>
      </c>
      <c r="B654" s="71" t="s">
        <v>1273</v>
      </c>
      <c r="C654" s="72" t="n">
        <f aca="false">Cap_14!B152</f>
        <v>-1270</v>
      </c>
      <c r="D654" s="72" t="n">
        <f aca="false">Cap_14!D152</f>
        <v>-1270</v>
      </c>
      <c r="E654" s="73" t="str">
        <f aca="false">Cap_14!E152</f>
        <v>OK</v>
      </c>
    </row>
    <row r="655" customFormat="false" ht="15" hidden="false" customHeight="true" outlineLevel="0" collapsed="false">
      <c r="A655" s="71" t="s">
        <v>56</v>
      </c>
      <c r="B655" s="71" t="s">
        <v>1274</v>
      </c>
      <c r="C655" s="71" t="str">
        <f aca="false">Cap_14!B153</f>
        <v>Quadra</v>
      </c>
      <c r="D655" s="71" t="str">
        <f aca="false">Cap_14!D153</f>
        <v>Quadra</v>
      </c>
      <c r="E655" s="73" t="str">
        <f aca="false">Cap_14!E153</f>
        <v>OK</v>
      </c>
    </row>
    <row r="656" customFormat="false" ht="15" hidden="false" customHeight="true" outlineLevel="0" collapsed="false">
      <c r="A656" s="71" t="s">
        <v>56</v>
      </c>
      <c r="B656" s="71" t="s">
        <v>1277</v>
      </c>
      <c r="C656" s="72" t="n">
        <f aca="false">Cap_14!B158</f>
        <v>10000</v>
      </c>
      <c r="D656" s="72" t="n">
        <f aca="false">Cap_14!D158</f>
        <v>10000</v>
      </c>
      <c r="E656" s="73" t="str">
        <f aca="false">Cap_14!E158</f>
        <v>OK</v>
      </c>
    </row>
    <row r="657" customFormat="false" ht="15" hidden="false" customHeight="true" outlineLevel="0" collapsed="false">
      <c r="A657" s="71" t="s">
        <v>56</v>
      </c>
      <c r="B657" s="71" t="s">
        <v>1278</v>
      </c>
      <c r="C657" s="72" t="n">
        <f aca="false">Cap_14!B159</f>
        <v>4500</v>
      </c>
      <c r="D657" s="72" t="n">
        <f aca="false">Cap_14!D159</f>
        <v>4500</v>
      </c>
      <c r="E657" s="73" t="str">
        <f aca="false">Cap_14!E159</f>
        <v>OK</v>
      </c>
    </row>
    <row r="658" customFormat="false" ht="15" hidden="false" customHeight="true" outlineLevel="0" collapsed="false">
      <c r="A658" s="71" t="s">
        <v>56</v>
      </c>
      <c r="B658" s="71" t="s">
        <v>1279</v>
      </c>
      <c r="C658" s="72" t="n">
        <f aca="false">Cap_14!B160</f>
        <v>2750</v>
      </c>
      <c r="D658" s="72" t="n">
        <f aca="false">Cap_14!D160</f>
        <v>2750</v>
      </c>
      <c r="E658" s="73" t="str">
        <f aca="false">Cap_14!E160</f>
        <v>OK</v>
      </c>
    </row>
    <row r="659" customFormat="false" ht="15" hidden="false" customHeight="true" outlineLevel="0" collapsed="false">
      <c r="A659" s="71" t="s">
        <v>56</v>
      </c>
      <c r="B659" s="71" t="s">
        <v>1280</v>
      </c>
      <c r="C659" s="72" t="n">
        <f aca="false">Cap_14!B161</f>
        <v>2550</v>
      </c>
      <c r="D659" s="72" t="n">
        <f aca="false">Cap_14!D161</f>
        <v>2550</v>
      </c>
      <c r="E659" s="73" t="str">
        <f aca="false">Cap_14!E161</f>
        <v>OK</v>
      </c>
    </row>
    <row r="660" customFormat="false" ht="15" hidden="false" customHeight="true" outlineLevel="0" collapsed="false">
      <c r="A660" s="71" t="s">
        <v>56</v>
      </c>
      <c r="B660" s="71" t="s">
        <v>1281</v>
      </c>
      <c r="C660" s="72" t="n">
        <f aca="false">Cap_14!B162</f>
        <v>9800</v>
      </c>
      <c r="D660" s="72" t="n">
        <f aca="false">Cap_14!D162</f>
        <v>9800</v>
      </c>
      <c r="E660" s="73" t="str">
        <f aca="false">Cap_14!E162</f>
        <v>OK</v>
      </c>
    </row>
    <row r="661" customFormat="false" ht="15" hidden="false" customHeight="true" outlineLevel="0" collapsed="false">
      <c r="A661" s="71" t="s">
        <v>56</v>
      </c>
      <c r="B661" s="71" t="s">
        <v>1282</v>
      </c>
      <c r="C661" s="72" t="n">
        <f aca="false">Cap_14!B163</f>
        <v>-200</v>
      </c>
      <c r="D661" s="72" t="n">
        <f aca="false">Cap_14!D163</f>
        <v>-200</v>
      </c>
      <c r="E661" s="73" t="str">
        <f aca="false">Cap_14!E163</f>
        <v>OK</v>
      </c>
    </row>
    <row r="662" customFormat="false" ht="15" hidden="false" customHeight="true" outlineLevel="0" collapsed="false">
      <c r="A662" s="71" t="s">
        <v>56</v>
      </c>
      <c r="B662" s="71" t="s">
        <v>1283</v>
      </c>
      <c r="C662" s="78" t="n">
        <f aca="false">Cap_14!B164</f>
        <v>55.5</v>
      </c>
      <c r="D662" s="78" t="n">
        <f aca="false">Cap_14!D164</f>
        <v>55.5</v>
      </c>
      <c r="E662" s="73" t="str">
        <f aca="false">Cap_14!E164</f>
        <v>OK</v>
      </c>
    </row>
    <row r="663" customFormat="false" ht="15" hidden="false" customHeight="true" outlineLevel="0" collapsed="false">
      <c r="A663" s="71" t="s">
        <v>56</v>
      </c>
      <c r="B663" s="71" t="s">
        <v>1284</v>
      </c>
      <c r="C663" s="78" t="n">
        <f aca="false">Cap_14!B165</f>
        <v>39.5</v>
      </c>
      <c r="D663" s="78" t="n">
        <f aca="false">Cap_14!D165</f>
        <v>39.5</v>
      </c>
      <c r="E663" s="73" t="str">
        <f aca="false">Cap_14!E165</f>
        <v>OK</v>
      </c>
    </row>
    <row r="664" customFormat="false" ht="15" hidden="false" customHeight="true" outlineLevel="0" collapsed="false">
      <c r="A664" s="71" t="s">
        <v>56</v>
      </c>
      <c r="B664" s="71" t="s">
        <v>1285</v>
      </c>
      <c r="C664" s="72" t="n">
        <f aca="false">Cap_14!B166</f>
        <v>36</v>
      </c>
      <c r="D664" s="72" t="n">
        <f aca="false">Cap_14!D166</f>
        <v>36</v>
      </c>
      <c r="E664" s="73" t="str">
        <f aca="false">Cap_14!E166</f>
        <v>OK</v>
      </c>
    </row>
    <row r="665" customFormat="false" ht="15" hidden="false" customHeight="true" outlineLevel="0" collapsed="false">
      <c r="A665" s="71" t="s">
        <v>56</v>
      </c>
      <c r="B665" s="71" t="s">
        <v>1286</v>
      </c>
      <c r="C665" s="72" t="n">
        <f aca="false">Cap_14!B167</f>
        <v>2870</v>
      </c>
      <c r="D665" s="72" t="n">
        <f aca="false">Cap_14!D167</f>
        <v>2870</v>
      </c>
      <c r="E665" s="73" t="str">
        <f aca="false">Cap_14!E167</f>
        <v>OK</v>
      </c>
    </row>
    <row r="666" customFormat="false" ht="15" hidden="false" customHeight="true" outlineLevel="0" collapsed="false">
      <c r="A666" s="71" t="s">
        <v>56</v>
      </c>
      <c r="B666" s="71" t="s">
        <v>1287</v>
      </c>
      <c r="C666" s="72" t="n">
        <f aca="false">Cap_14!B168</f>
        <v>2670</v>
      </c>
      <c r="D666" s="72" t="n">
        <f aca="false">Cap_14!D168</f>
        <v>2670</v>
      </c>
      <c r="E666" s="73" t="str">
        <f aca="false">Cap_14!E168</f>
        <v>OK</v>
      </c>
    </row>
    <row r="667" customFormat="false" ht="15" hidden="false" customHeight="true" outlineLevel="0" collapsed="false">
      <c r="A667" s="71" t="s">
        <v>56</v>
      </c>
      <c r="B667" s="71" t="s">
        <v>1288</v>
      </c>
      <c r="C667" s="71" t="str">
        <f aca="false">Cap_14!B169</f>
        <v>Quadra</v>
      </c>
      <c r="D667" s="71" t="str">
        <f aca="false">Cap_14!D169</f>
        <v>Quadra</v>
      </c>
      <c r="E667" s="73" t="str">
        <f aca="false">Cap_14!E169</f>
        <v>OK</v>
      </c>
    </row>
    <row r="668" customFormat="false" ht="15" hidden="false" customHeight="true" outlineLevel="0" collapsed="false">
      <c r="A668" s="71" t="s">
        <v>56</v>
      </c>
      <c r="B668" s="71" t="s">
        <v>1293</v>
      </c>
      <c r="C668" s="72" t="n">
        <f aca="false">Cap_14!B176</f>
        <v>2850</v>
      </c>
      <c r="D668" s="72" t="n">
        <f aca="false">Cap_14!D176</f>
        <v>2850</v>
      </c>
      <c r="E668" s="73" t="str">
        <f aca="false">Cap_14!E176</f>
        <v>OK</v>
      </c>
    </row>
    <row r="669" customFormat="false" ht="15" hidden="false" customHeight="true" outlineLevel="0" collapsed="false">
      <c r="A669" s="71" t="s">
        <v>56</v>
      </c>
      <c r="B669" s="71" t="s">
        <v>1294</v>
      </c>
      <c r="C669" s="72" t="n">
        <f aca="false">Cap_14!B177</f>
        <v>2850</v>
      </c>
      <c r="D669" s="72" t="n">
        <f aca="false">Cap_14!D177</f>
        <v>2850</v>
      </c>
      <c r="E669" s="73" t="str">
        <f aca="false">Cap_14!E177</f>
        <v>OK</v>
      </c>
    </row>
    <row r="670" customFormat="false" ht="15" hidden="false" customHeight="true" outlineLevel="0" collapsed="false">
      <c r="A670" s="71" t="s">
        <v>56</v>
      </c>
      <c r="B670" s="71" t="s">
        <v>1296</v>
      </c>
      <c r="C670" s="72" t="n">
        <f aca="false">Cap_14!B179</f>
        <v>16900</v>
      </c>
      <c r="D670" s="72" t="n">
        <f aca="false">Cap_14!D179</f>
        <v>16900</v>
      </c>
      <c r="E670" s="73" t="str">
        <f aca="false">Cap_14!E179</f>
        <v>OK</v>
      </c>
    </row>
    <row r="671" customFormat="false" ht="15" hidden="false" customHeight="true" outlineLevel="0" collapsed="false">
      <c r="A671" s="71" t="s">
        <v>60</v>
      </c>
      <c r="B671" s="71" t="s">
        <v>1305</v>
      </c>
      <c r="C671" s="72" t="n">
        <f aca="false">Cap_15!B13</f>
        <v>13000</v>
      </c>
      <c r="D671" s="72" t="n">
        <f aca="false">Cap_15!D13</f>
        <v>13000</v>
      </c>
      <c r="E671" s="73" t="str">
        <f aca="false">Cap_15!E13</f>
        <v>OK</v>
      </c>
    </row>
    <row r="672" customFormat="false" ht="15" hidden="false" customHeight="true" outlineLevel="0" collapsed="false">
      <c r="A672" s="71" t="s">
        <v>60</v>
      </c>
      <c r="B672" s="71" t="s">
        <v>1313</v>
      </c>
      <c r="C672" s="72" t="n">
        <f aca="false">Cap_15!B23</f>
        <v>-230000</v>
      </c>
      <c r="D672" s="72" t="n">
        <f aca="false">Cap_15!D23</f>
        <v>-230000</v>
      </c>
      <c r="E672" s="73" t="str">
        <f aca="false">Cap_15!E23</f>
        <v>OK</v>
      </c>
    </row>
    <row r="673" customFormat="false" ht="15" hidden="false" customHeight="true" outlineLevel="0" collapsed="false">
      <c r="A673" s="71" t="s">
        <v>60</v>
      </c>
      <c r="B673" s="71" t="s">
        <v>1314</v>
      </c>
      <c r="C673" s="72" t="n">
        <f aca="false">Cap_15!B24</f>
        <v>55000</v>
      </c>
      <c r="D673" s="72" t="n">
        <f aca="false">Cap_15!D24</f>
        <v>55000</v>
      </c>
      <c r="E673" s="73" t="str">
        <f aca="false">Cap_15!E24</f>
        <v>OK</v>
      </c>
    </row>
    <row r="674" customFormat="false" ht="15" hidden="false" customHeight="true" outlineLevel="0" collapsed="false">
      <c r="A674" s="71" t="s">
        <v>60</v>
      </c>
      <c r="B674" s="71" t="s">
        <v>1315</v>
      </c>
      <c r="C674" s="72" t="n">
        <f aca="false">Cap_15!B25</f>
        <v>55000</v>
      </c>
      <c r="D674" s="72" t="n">
        <f aca="false">Cap_15!D25</f>
        <v>55000</v>
      </c>
      <c r="E674" s="73" t="str">
        <f aca="false">Cap_15!E25</f>
        <v>OK</v>
      </c>
    </row>
    <row r="675" customFormat="false" ht="15" hidden="false" customHeight="true" outlineLevel="0" collapsed="false">
      <c r="A675" s="71" t="s">
        <v>60</v>
      </c>
      <c r="B675" s="71" t="s">
        <v>1316</v>
      </c>
      <c r="C675" s="72" t="n">
        <f aca="false">Cap_15!B26</f>
        <v>55000</v>
      </c>
      <c r="D675" s="72" t="n">
        <f aca="false">Cap_15!D26</f>
        <v>55000</v>
      </c>
      <c r="E675" s="73" t="str">
        <f aca="false">Cap_15!E26</f>
        <v>OK</v>
      </c>
    </row>
    <row r="676" customFormat="false" ht="15" hidden="false" customHeight="true" outlineLevel="0" collapsed="false">
      <c r="A676" s="71" t="s">
        <v>60</v>
      </c>
      <c r="B676" s="71" t="s">
        <v>1317</v>
      </c>
      <c r="C676" s="72" t="n">
        <f aca="false">Cap_15!B27</f>
        <v>55000</v>
      </c>
      <c r="D676" s="72" t="n">
        <f aca="false">Cap_15!D27</f>
        <v>55000</v>
      </c>
      <c r="E676" s="73" t="str">
        <f aca="false">Cap_15!E27</f>
        <v>OK</v>
      </c>
    </row>
    <row r="677" customFormat="false" ht="15" hidden="false" customHeight="true" outlineLevel="0" collapsed="false">
      <c r="A677" s="71" t="s">
        <v>60</v>
      </c>
      <c r="B677" s="71" t="s">
        <v>1318</v>
      </c>
      <c r="C677" s="72" t="n">
        <f aca="false">Cap_15!B28</f>
        <v>105000</v>
      </c>
      <c r="D677" s="72" t="n">
        <f aca="false">Cap_15!D28</f>
        <v>105000</v>
      </c>
      <c r="E677" s="73" t="str">
        <f aca="false">Cap_15!E28</f>
        <v>OK</v>
      </c>
    </row>
    <row r="678" customFormat="false" ht="15" hidden="false" customHeight="true" outlineLevel="0" collapsed="false">
      <c r="A678" s="71" t="s">
        <v>60</v>
      </c>
      <c r="B678" s="71" t="s">
        <v>1319</v>
      </c>
      <c r="C678" s="77" t="n">
        <f aca="false">Cap_15!B29</f>
        <v>0.925925925925926</v>
      </c>
      <c r="D678" s="77" t="n">
        <f aca="false">Cap_15!D29</f>
        <v>0.9259</v>
      </c>
      <c r="E678" s="73" t="str">
        <f aca="false">Cap_15!E29</f>
        <v>OK</v>
      </c>
    </row>
    <row r="679" customFormat="false" ht="15" hidden="false" customHeight="true" outlineLevel="0" collapsed="false">
      <c r="A679" s="71" t="s">
        <v>60</v>
      </c>
      <c r="B679" s="71" t="s">
        <v>1320</v>
      </c>
      <c r="C679" s="77" t="n">
        <f aca="false">Cap_15!B30</f>
        <v>0.857338820301783</v>
      </c>
      <c r="D679" s="77" t="n">
        <f aca="false">Cap_15!D30</f>
        <v>0.8573</v>
      </c>
      <c r="E679" s="73" t="str">
        <f aca="false">Cap_15!E30</f>
        <v>OK</v>
      </c>
    </row>
    <row r="680" customFormat="false" ht="15" hidden="false" customHeight="true" outlineLevel="0" collapsed="false">
      <c r="A680" s="71" t="s">
        <v>60</v>
      </c>
      <c r="B680" s="71" t="s">
        <v>1321</v>
      </c>
      <c r="C680" s="77" t="n">
        <f aca="false">Cap_15!B31</f>
        <v>0.79383224102017</v>
      </c>
      <c r="D680" s="77" t="n">
        <f aca="false">Cap_15!D31</f>
        <v>0.7938</v>
      </c>
      <c r="E680" s="73" t="str">
        <f aca="false">Cap_15!E31</f>
        <v>OK</v>
      </c>
    </row>
    <row r="681" customFormat="false" ht="15" hidden="false" customHeight="true" outlineLevel="0" collapsed="false">
      <c r="A681" s="71" t="s">
        <v>60</v>
      </c>
      <c r="B681" s="71" t="s">
        <v>1322</v>
      </c>
      <c r="C681" s="77" t="n">
        <f aca="false">Cap_15!B32</f>
        <v>0.735029852796453</v>
      </c>
      <c r="D681" s="77" t="n">
        <f aca="false">Cap_15!D32</f>
        <v>0.735</v>
      </c>
      <c r="E681" s="73" t="str">
        <f aca="false">Cap_15!E32</f>
        <v>OK</v>
      </c>
    </row>
    <row r="682" customFormat="false" ht="15" hidden="false" customHeight="true" outlineLevel="0" collapsed="false">
      <c r="A682" s="71" t="s">
        <v>60</v>
      </c>
      <c r="B682" s="71" t="s">
        <v>1323</v>
      </c>
      <c r="C682" s="77" t="n">
        <f aca="false">Cap_15!B33</f>
        <v>0.680583197033753</v>
      </c>
      <c r="D682" s="77" t="n">
        <f aca="false">Cap_15!D33</f>
        <v>0.6806</v>
      </c>
      <c r="E682" s="73" t="str">
        <f aca="false">Cap_15!E33</f>
        <v>OK</v>
      </c>
    </row>
    <row r="683" customFormat="false" ht="15" hidden="false" customHeight="true" outlineLevel="0" collapsed="false">
      <c r="A683" s="71" t="s">
        <v>60</v>
      </c>
      <c r="B683" s="71" t="s">
        <v>1324</v>
      </c>
      <c r="C683" s="72" t="n">
        <f aca="false">Cap_15!B34</f>
        <v>50925.9259259259</v>
      </c>
      <c r="D683" s="72" t="n">
        <f aca="false">Cap_15!D34</f>
        <v>50926</v>
      </c>
      <c r="E683" s="73" t="str">
        <f aca="false">Cap_15!E34</f>
        <v>OK</v>
      </c>
    </row>
    <row r="684" customFormat="false" ht="15" hidden="false" customHeight="true" outlineLevel="0" collapsed="false">
      <c r="A684" s="71" t="s">
        <v>60</v>
      </c>
      <c r="B684" s="71" t="s">
        <v>1325</v>
      </c>
      <c r="C684" s="72" t="n">
        <f aca="false">Cap_15!B35</f>
        <v>47153.6351165981</v>
      </c>
      <c r="D684" s="72" t="n">
        <f aca="false">Cap_15!D35</f>
        <v>47154</v>
      </c>
      <c r="E684" s="73" t="str">
        <f aca="false">Cap_15!E35</f>
        <v>OK</v>
      </c>
    </row>
    <row r="685" customFormat="false" ht="15" hidden="false" customHeight="true" outlineLevel="0" collapsed="false">
      <c r="A685" s="71" t="s">
        <v>60</v>
      </c>
      <c r="B685" s="71" t="s">
        <v>1326</v>
      </c>
      <c r="C685" s="72" t="n">
        <f aca="false">Cap_15!B36</f>
        <v>43660.7732561093</v>
      </c>
      <c r="D685" s="72" t="n">
        <f aca="false">Cap_15!D36</f>
        <v>43661</v>
      </c>
      <c r="E685" s="73" t="str">
        <f aca="false">Cap_15!E36</f>
        <v>OK</v>
      </c>
    </row>
    <row r="686" customFormat="false" ht="15" hidden="false" customHeight="true" outlineLevel="0" collapsed="false">
      <c r="A686" s="71" t="s">
        <v>60</v>
      </c>
      <c r="B686" s="71" t="s">
        <v>1327</v>
      </c>
      <c r="C686" s="72" t="n">
        <f aca="false">Cap_15!B37</f>
        <v>40426.6419038049</v>
      </c>
      <c r="D686" s="72" t="n">
        <f aca="false">Cap_15!D37</f>
        <v>40427</v>
      </c>
      <c r="E686" s="73" t="str">
        <f aca="false">Cap_15!E37</f>
        <v>OK</v>
      </c>
    </row>
    <row r="687" customFormat="false" ht="15" hidden="false" customHeight="true" outlineLevel="0" collapsed="false">
      <c r="A687" s="71" t="s">
        <v>60</v>
      </c>
      <c r="B687" s="71" t="s">
        <v>1328</v>
      </c>
      <c r="C687" s="72" t="n">
        <f aca="false">Cap_15!B38</f>
        <v>71461.2356885441</v>
      </c>
      <c r="D687" s="72" t="n">
        <f aca="false">Cap_15!D38</f>
        <v>71461</v>
      </c>
      <c r="E687" s="73" t="str">
        <f aca="false">Cap_15!E38</f>
        <v>OK</v>
      </c>
    </row>
    <row r="688" customFormat="false" ht="15" hidden="false" customHeight="true" outlineLevel="0" collapsed="false">
      <c r="A688" s="71" t="s">
        <v>60</v>
      </c>
      <c r="B688" s="71" t="s">
        <v>1329</v>
      </c>
      <c r="C688" s="72" t="n">
        <f aca="false">Cap_15!B39</f>
        <v>23628.2118909823</v>
      </c>
      <c r="D688" s="72" t="n">
        <f aca="false">Cap_15!D39</f>
        <v>23628</v>
      </c>
      <c r="E688" s="73" t="str">
        <f aca="false">Cap_15!E39</f>
        <v>OK</v>
      </c>
    </row>
    <row r="689" customFormat="false" ht="15" hidden="false" customHeight="true" outlineLevel="0" collapsed="false">
      <c r="A689" s="71" t="s">
        <v>60</v>
      </c>
      <c r="B689" s="71" t="s">
        <v>1330</v>
      </c>
      <c r="C689" s="72" t="n">
        <f aca="false">Cap_15!B40</f>
        <v>23629</v>
      </c>
      <c r="D689" s="72" t="n">
        <f aca="false">Cap_15!D40</f>
        <v>23629</v>
      </c>
      <c r="E689" s="73" t="str">
        <f aca="false">Cap_15!E40</f>
        <v>OK</v>
      </c>
    </row>
    <row r="690" customFormat="false" ht="15" hidden="false" customHeight="true" outlineLevel="0" collapsed="false">
      <c r="A690" s="71" t="s">
        <v>60</v>
      </c>
      <c r="B690" s="71" t="s">
        <v>1331</v>
      </c>
      <c r="C690" s="76" t="n">
        <f aca="false">Cap_15!B41</f>
        <v>0.114614536502421</v>
      </c>
      <c r="D690" s="76" t="n">
        <f aca="false">Cap_15!D41</f>
        <v>0.115</v>
      </c>
      <c r="E690" s="73" t="str">
        <f aca="false">Cap_15!E41</f>
        <v>OK</v>
      </c>
    </row>
    <row r="691" customFormat="false" ht="15" hidden="false" customHeight="true" outlineLevel="0" collapsed="false">
      <c r="A691" s="71" t="s">
        <v>60</v>
      </c>
      <c r="B691" s="71" t="s">
        <v>1334</v>
      </c>
      <c r="C691" s="72" t="n">
        <f aca="false">Cap_15!B46</f>
        <v>-200000</v>
      </c>
      <c r="D691" s="72" t="n">
        <f aca="false">Cap_15!D46</f>
        <v>-200000</v>
      </c>
      <c r="E691" s="73" t="str">
        <f aca="false">Cap_15!E46</f>
        <v>OK</v>
      </c>
    </row>
    <row r="692" customFormat="false" ht="15" hidden="false" customHeight="true" outlineLevel="0" collapsed="false">
      <c r="A692" s="71" t="s">
        <v>60</v>
      </c>
      <c r="B692" s="71" t="s">
        <v>1339</v>
      </c>
      <c r="C692" s="72" t="n">
        <f aca="false">Cap_15!B51</f>
        <v>75000</v>
      </c>
      <c r="D692" s="72" t="n">
        <f aca="false">Cap_15!D51</f>
        <v>75000</v>
      </c>
      <c r="E692" s="73" t="str">
        <f aca="false">Cap_15!E51</f>
        <v>OK</v>
      </c>
    </row>
    <row r="693" customFormat="false" ht="15" hidden="false" customHeight="true" outlineLevel="0" collapsed="false">
      <c r="A693" s="71" t="s">
        <v>60</v>
      </c>
      <c r="B693" s="71" t="s">
        <v>1340</v>
      </c>
      <c r="C693" s="72" t="n">
        <f aca="false">Cap_15!B52</f>
        <v>33210.7159799697</v>
      </c>
      <c r="D693" s="72" t="n">
        <f aca="false">Cap_15!D52</f>
        <v>33211</v>
      </c>
      <c r="E693" s="73" t="str">
        <f aca="false">Cap_15!E52</f>
        <v>OK</v>
      </c>
    </row>
    <row r="694" customFormat="false" ht="15" hidden="false" customHeight="true" outlineLevel="0" collapsed="false">
      <c r="A694" s="71" t="s">
        <v>60</v>
      </c>
      <c r="B694" s="71" t="s">
        <v>1341</v>
      </c>
      <c r="C694" s="76" t="n">
        <f aca="false">Cap_15!B53</f>
        <v>0.138416707909823</v>
      </c>
      <c r="D694" s="76" t="n">
        <f aca="false">Cap_15!D53</f>
        <v>0.138</v>
      </c>
      <c r="E694" s="73" t="str">
        <f aca="false">Cap_15!E53</f>
        <v>OK</v>
      </c>
    </row>
    <row r="695" customFormat="false" ht="15" hidden="false" customHeight="true" outlineLevel="0" collapsed="false">
      <c r="A695" s="71" t="s">
        <v>60</v>
      </c>
      <c r="B695" s="71" t="s">
        <v>1342</v>
      </c>
      <c r="C695" s="72" t="n">
        <f aca="false">Cap_15!B54</f>
        <v>9582.50408898742</v>
      </c>
      <c r="D695" s="72" t="n">
        <f aca="false">Cap_15!D54</f>
        <v>9583</v>
      </c>
      <c r="E695" s="73" t="str">
        <f aca="false">Cap_15!E54</f>
        <v>OK</v>
      </c>
    </row>
    <row r="696" customFormat="false" ht="15" hidden="false" customHeight="true" outlineLevel="0" collapsed="false">
      <c r="A696" s="71" t="s">
        <v>60</v>
      </c>
      <c r="B696" s="71" t="s">
        <v>1349</v>
      </c>
      <c r="C696" s="72" t="n">
        <f aca="false">Cap_15!B63</f>
        <v>30000</v>
      </c>
      <c r="D696" s="72" t="n">
        <f aca="false">Cap_15!D63</f>
        <v>30000</v>
      </c>
      <c r="E696" s="73" t="str">
        <f aca="false">Cap_15!E63</f>
        <v>OK</v>
      </c>
    </row>
    <row r="697" customFormat="false" ht="15" hidden="false" customHeight="true" outlineLevel="0" collapsed="false">
      <c r="A697" s="71" t="s">
        <v>60</v>
      </c>
      <c r="B697" s="71" t="s">
        <v>1350</v>
      </c>
      <c r="C697" s="72" t="n">
        <f aca="false">Cap_15!B64</f>
        <v>4</v>
      </c>
      <c r="D697" s="72" t="n">
        <f aca="false">Cap_15!D64</f>
        <v>4</v>
      </c>
      <c r="E697" s="73" t="str">
        <f aca="false">Cap_15!E64</f>
        <v>OK</v>
      </c>
    </row>
    <row r="698" customFormat="false" ht="15" hidden="false" customHeight="true" outlineLevel="0" collapsed="false">
      <c r="A698" s="71" t="s">
        <v>60</v>
      </c>
      <c r="B698" s="71" t="s">
        <v>1351</v>
      </c>
      <c r="C698" s="72" t="n">
        <f aca="false">Cap_15!B65</f>
        <v>7500</v>
      </c>
      <c r="D698" s="72" t="n">
        <f aca="false">Cap_15!D65</f>
        <v>7500</v>
      </c>
      <c r="E698" s="73" t="str">
        <f aca="false">Cap_15!E65</f>
        <v>OK</v>
      </c>
    </row>
    <row r="699" customFormat="false" ht="15" hidden="false" customHeight="true" outlineLevel="0" collapsed="false">
      <c r="A699" s="71" t="s">
        <v>60</v>
      </c>
      <c r="B699" s="71" t="s">
        <v>1352</v>
      </c>
      <c r="C699" s="71" t="str">
        <f aca="false">Cap_15!B67</f>
        <v>B</v>
      </c>
      <c r="D699" s="71" t="str">
        <f aca="false">Cap_15!D67</f>
        <v>B</v>
      </c>
      <c r="E699" s="73" t="str">
        <f aca="false">Cap_15!E67</f>
        <v>OK</v>
      </c>
    </row>
    <row r="700" customFormat="false" ht="15" hidden="false" customHeight="true" outlineLevel="0" collapsed="false">
      <c r="A700" s="71" t="s">
        <v>60</v>
      </c>
      <c r="B700" s="71" t="s">
        <v>1359</v>
      </c>
      <c r="C700" s="72" t="n">
        <f aca="false">Cap_15!B75</f>
        <v>40000</v>
      </c>
      <c r="D700" s="72" t="n">
        <f aca="false">Cap_15!D75</f>
        <v>40000</v>
      </c>
      <c r="E700" s="73" t="str">
        <f aca="false">Cap_15!E75</f>
        <v>OK</v>
      </c>
    </row>
    <row r="701" customFormat="false" ht="15" hidden="false" customHeight="true" outlineLevel="0" collapsed="false">
      <c r="A701" s="71" t="s">
        <v>60</v>
      </c>
      <c r="B701" s="71" t="s">
        <v>1363</v>
      </c>
      <c r="C701" s="72" t="n">
        <f aca="false">Cap_15!B81</f>
        <v>5</v>
      </c>
      <c r="D701" s="72" t="n">
        <f aca="false">Cap_15!D81</f>
        <v>5</v>
      </c>
      <c r="E701" s="73" t="str">
        <f aca="false">Cap_15!E81</f>
        <v>OK</v>
      </c>
    </row>
    <row r="702" customFormat="false" ht="15" hidden="false" customHeight="true" outlineLevel="0" collapsed="false">
      <c r="A702" s="71" t="s">
        <v>60</v>
      </c>
      <c r="B702" s="71" t="s">
        <v>1365</v>
      </c>
      <c r="C702" s="72" t="n">
        <f aca="false">Cap_15!B82</f>
        <v>30000</v>
      </c>
      <c r="D702" s="72" t="n">
        <f aca="false">Cap_15!D82</f>
        <v>30000</v>
      </c>
      <c r="E702" s="73" t="str">
        <f aca="false">Cap_15!E82</f>
        <v>OK</v>
      </c>
    </row>
    <row r="703" customFormat="false" ht="15" hidden="false" customHeight="true" outlineLevel="0" collapsed="false">
      <c r="A703" s="71" t="s">
        <v>60</v>
      </c>
      <c r="B703" s="71" t="s">
        <v>1366</v>
      </c>
      <c r="C703" s="72" t="n">
        <f aca="false">Cap_15!B83</f>
        <v>119492.025989368</v>
      </c>
      <c r="D703" s="72" t="n">
        <f aca="false">Cap_15!D83</f>
        <v>119492</v>
      </c>
      <c r="E703" s="73" t="str">
        <f aca="false">Cap_15!E83</f>
        <v>OK</v>
      </c>
    </row>
    <row r="704" customFormat="false" ht="15" hidden="false" customHeight="true" outlineLevel="0" collapsed="false">
      <c r="A704" s="71" t="s">
        <v>60</v>
      </c>
      <c r="B704" s="71" t="s">
        <v>1367</v>
      </c>
      <c r="C704" s="72" t="n">
        <f aca="false">Cap_15!B84</f>
        <v>-47492.025989368</v>
      </c>
      <c r="D704" s="72" t="n">
        <f aca="false">Cap_15!D84</f>
        <v>-47492</v>
      </c>
      <c r="E704" s="73" t="str">
        <f aca="false">Cap_15!E84</f>
        <v>OK</v>
      </c>
    </row>
    <row r="705" customFormat="false" ht="15" hidden="false" customHeight="true" outlineLevel="0" collapsed="false">
      <c r="A705" s="71" t="s">
        <v>60</v>
      </c>
      <c r="B705" s="71" t="s">
        <v>1368</v>
      </c>
      <c r="C705" s="72" t="n">
        <f aca="false">Cap_15!B85</f>
        <v>149492.025989368</v>
      </c>
      <c r="D705" s="72" t="n">
        <f aca="false">Cap_15!D85</f>
        <v>149492</v>
      </c>
      <c r="E705" s="73" t="str">
        <f aca="false">Cap_15!E85</f>
        <v>OK</v>
      </c>
    </row>
    <row r="706" customFormat="false" ht="15" hidden="false" customHeight="true" outlineLevel="0" collapsed="false">
      <c r="A706" s="71" t="s">
        <v>60</v>
      </c>
      <c r="B706" s="71" t="s">
        <v>1369</v>
      </c>
      <c r="C706" s="72" t="n">
        <f aca="false">Cap_15!B86</f>
        <v>14339.0431187242</v>
      </c>
      <c r="D706" s="72" t="n">
        <f aca="false">Cap_15!D86</f>
        <v>14339</v>
      </c>
      <c r="E706" s="73" t="str">
        <f aca="false">Cap_15!E86</f>
        <v>OK</v>
      </c>
    </row>
    <row r="707" customFormat="false" ht="15" hidden="false" customHeight="true" outlineLevel="0" collapsed="false">
      <c r="A707" s="71" t="s">
        <v>60</v>
      </c>
      <c r="B707" s="71" t="s">
        <v>1373</v>
      </c>
      <c r="C707" s="72" t="n">
        <f aca="false">Cap_15!B92</f>
        <v>63</v>
      </c>
      <c r="D707" s="72" t="n">
        <f aca="false">Cap_15!D92</f>
        <v>63</v>
      </c>
      <c r="E707" s="73" t="str">
        <f aca="false">Cap_15!E92</f>
        <v>OK</v>
      </c>
    </row>
    <row r="708" customFormat="false" ht="15" hidden="false" customHeight="true" outlineLevel="0" collapsed="false">
      <c r="A708" s="71" t="s">
        <v>60</v>
      </c>
      <c r="B708" s="71" t="s">
        <v>1374</v>
      </c>
      <c r="C708" s="72" t="n">
        <f aca="false">Cap_15!B93</f>
        <v>42</v>
      </c>
      <c r="D708" s="72" t="n">
        <f aca="false">Cap_15!D93</f>
        <v>42</v>
      </c>
      <c r="E708" s="73" t="str">
        <f aca="false">Cap_15!E93</f>
        <v>OK</v>
      </c>
    </row>
    <row r="709" customFormat="false" ht="15" hidden="false" customHeight="true" outlineLevel="0" collapsed="false">
      <c r="A709" s="71" t="s">
        <v>60</v>
      </c>
      <c r="B709" s="71" t="s">
        <v>1375</v>
      </c>
      <c r="C709" s="72" t="n">
        <f aca="false">Cap_15!B94</f>
        <v>38</v>
      </c>
      <c r="D709" s="72" t="n">
        <f aca="false">Cap_15!D94</f>
        <v>38</v>
      </c>
      <c r="E709" s="73" t="str">
        <f aca="false">Cap_15!E94</f>
        <v>OK</v>
      </c>
    </row>
    <row r="710" customFormat="false" ht="15" hidden="false" customHeight="true" outlineLevel="0" collapsed="false">
      <c r="A710" s="71" t="s">
        <v>60</v>
      </c>
      <c r="B710" s="71" t="s">
        <v>1376</v>
      </c>
      <c r="C710" s="72" t="n">
        <f aca="false">Cap_15!B95</f>
        <v>76</v>
      </c>
      <c r="D710" s="72" t="n">
        <f aca="false">Cap_15!D95</f>
        <v>76</v>
      </c>
      <c r="E710" s="73" t="str">
        <f aca="false">Cap_15!E95</f>
        <v>OK</v>
      </c>
    </row>
    <row r="711" customFormat="false" ht="15" hidden="false" customHeight="true" outlineLevel="0" collapsed="false">
      <c r="A711" s="71" t="s">
        <v>60</v>
      </c>
      <c r="B711" s="71" t="s">
        <v>1377</v>
      </c>
      <c r="C711" s="72" t="n">
        <f aca="false">Cap_15!B96</f>
        <v>51</v>
      </c>
      <c r="D711" s="72" t="n">
        <f aca="false">Cap_15!D96</f>
        <v>51</v>
      </c>
      <c r="E711" s="73" t="str">
        <f aca="false">Cap_15!E96</f>
        <v>OK</v>
      </c>
    </row>
    <row r="712" customFormat="false" ht="15" hidden="false" customHeight="true" outlineLevel="0" collapsed="false">
      <c r="A712" s="71" t="s">
        <v>60</v>
      </c>
      <c r="B712" s="71" t="s">
        <v>1378</v>
      </c>
      <c r="C712" s="72" t="n">
        <f aca="false">Cap_15!B97</f>
        <v>17</v>
      </c>
      <c r="D712" s="72" t="n">
        <f aca="false">Cap_15!D97</f>
        <v>17</v>
      </c>
      <c r="E712" s="73" t="str">
        <f aca="false">Cap_15!E97</f>
        <v>OK</v>
      </c>
    </row>
    <row r="713" customFormat="false" ht="15" hidden="false" customHeight="true" outlineLevel="0" collapsed="false">
      <c r="A713" s="71" t="s">
        <v>60</v>
      </c>
      <c r="B713" s="71" t="s">
        <v>1379</v>
      </c>
      <c r="C713" s="72" t="n">
        <f aca="false">Cap_15!B98</f>
        <v>12000</v>
      </c>
      <c r="D713" s="72" t="n">
        <f aca="false">Cap_15!D98</f>
        <v>12000</v>
      </c>
      <c r="E713" s="73" t="str">
        <f aca="false">Cap_15!E98</f>
        <v>OK</v>
      </c>
    </row>
    <row r="714" customFormat="false" ht="15" hidden="false" customHeight="true" outlineLevel="0" collapsed="false">
      <c r="A714" s="71" t="s">
        <v>60</v>
      </c>
      <c r="B714" s="71" t="s">
        <v>1380</v>
      </c>
      <c r="C714" s="72" t="n">
        <f aca="false">Cap_15!B99</f>
        <v>6000</v>
      </c>
      <c r="D714" s="72" t="n">
        <f aca="false">Cap_15!D99</f>
        <v>6000</v>
      </c>
      <c r="E714" s="73" t="str">
        <f aca="false">Cap_15!E99</f>
        <v>OK</v>
      </c>
    </row>
    <row r="715" customFormat="false" ht="15" hidden="false" customHeight="true" outlineLevel="0" collapsed="false">
      <c r="A715" s="71" t="s">
        <v>60</v>
      </c>
      <c r="B715" s="71" t="s">
        <v>1381</v>
      </c>
      <c r="C715" s="72" t="n">
        <f aca="false">Cap_15!B100</f>
        <v>1000</v>
      </c>
      <c r="D715" s="72" t="n">
        <f aca="false">Cap_15!D100</f>
        <v>1000</v>
      </c>
      <c r="E715" s="73" t="str">
        <f aca="false">Cap_15!E100</f>
        <v>OK</v>
      </c>
    </row>
    <row r="716" customFormat="false" ht="15" hidden="false" customHeight="true" outlineLevel="0" collapsed="false">
      <c r="A716" s="71" t="s">
        <v>60</v>
      </c>
      <c r="B716" s="71" t="s">
        <v>1384</v>
      </c>
      <c r="C716" s="72" t="n">
        <f aca="false">Cap_15!B105</f>
        <v>24000</v>
      </c>
      <c r="D716" s="72" t="n">
        <f aca="false">Cap_15!D105</f>
        <v>24000</v>
      </c>
      <c r="E716" s="73" t="str">
        <f aca="false">Cap_15!E105</f>
        <v>OK</v>
      </c>
    </row>
    <row r="717" customFormat="false" ht="15" hidden="false" customHeight="true" outlineLevel="0" collapsed="false">
      <c r="A717" s="71" t="s">
        <v>60</v>
      </c>
      <c r="B717" s="71" t="s">
        <v>1385</v>
      </c>
      <c r="C717" s="72" t="n">
        <f aca="false">Cap_15!B106</f>
        <v>18000</v>
      </c>
      <c r="D717" s="72" t="n">
        <f aca="false">Cap_15!D106</f>
        <v>18000</v>
      </c>
      <c r="E717" s="73" t="str">
        <f aca="false">Cap_15!E106</f>
        <v>OK</v>
      </c>
    </row>
    <row r="718" customFormat="false" ht="15" hidden="false" customHeight="true" outlineLevel="0" collapsed="false">
      <c r="A718" s="71" t="s">
        <v>60</v>
      </c>
      <c r="B718" s="71" t="s">
        <v>1386</v>
      </c>
      <c r="C718" s="72" t="n">
        <f aca="false">Cap_15!B107</f>
        <v>21000</v>
      </c>
      <c r="D718" s="72" t="n">
        <f aca="false">Cap_15!D107</f>
        <v>21000</v>
      </c>
      <c r="E718" s="73" t="str">
        <f aca="false">Cap_15!E107</f>
        <v>OK</v>
      </c>
    </row>
    <row r="719" customFormat="false" ht="15" hidden="false" customHeight="true" outlineLevel="0" collapsed="false">
      <c r="A719" s="71" t="s">
        <v>60</v>
      </c>
      <c r="B719" s="71" t="s">
        <v>1387</v>
      </c>
      <c r="C719" s="72" t="n">
        <f aca="false">Cap_15!B108</f>
        <v>1062000</v>
      </c>
      <c r="D719" s="72" t="n">
        <f aca="false">Cap_15!D108</f>
        <v>1062000</v>
      </c>
      <c r="E719" s="73" t="str">
        <f aca="false">Cap_15!E108</f>
        <v>OK</v>
      </c>
    </row>
    <row r="720" customFormat="false" ht="15" hidden="false" customHeight="true" outlineLevel="0" collapsed="false">
      <c r="A720" s="71" t="s">
        <v>60</v>
      </c>
      <c r="B720" s="71" t="s">
        <v>1388</v>
      </c>
      <c r="C720" s="72" t="n">
        <f aca="false">Cap_15!B109</f>
        <v>960000</v>
      </c>
      <c r="D720" s="72" t="n">
        <f aca="false">Cap_15!D109</f>
        <v>960000</v>
      </c>
      <c r="E720" s="73" t="str">
        <f aca="false">Cap_15!E109</f>
        <v>OK</v>
      </c>
    </row>
    <row r="721" customFormat="false" ht="15" hidden="false" customHeight="true" outlineLevel="0" collapsed="false">
      <c r="A721" s="71" t="s">
        <v>60</v>
      </c>
      <c r="B721" s="71" t="s">
        <v>1389</v>
      </c>
      <c r="C721" s="72" t="n">
        <f aca="false">Cap_15!B110</f>
        <v>1011000</v>
      </c>
      <c r="D721" s="72" t="n">
        <f aca="false">Cap_15!D110</f>
        <v>1011000</v>
      </c>
      <c r="E721" s="73" t="str">
        <f aca="false">Cap_15!E110</f>
        <v>OK</v>
      </c>
    </row>
    <row r="722" customFormat="false" ht="15" hidden="false" customHeight="true" outlineLevel="0" collapsed="false">
      <c r="A722" s="71" t="s">
        <v>60</v>
      </c>
      <c r="B722" s="71" t="s">
        <v>1390</v>
      </c>
      <c r="C722" s="72" t="n">
        <f aca="false">Cap_15!B111</f>
        <v>736000</v>
      </c>
      <c r="D722" s="72" t="n">
        <f aca="false">Cap_15!D111</f>
        <v>736000</v>
      </c>
      <c r="E722" s="73" t="str">
        <f aca="false">Cap_15!E111</f>
        <v>OK</v>
      </c>
    </row>
    <row r="723" customFormat="false" ht="15" hidden="false" customHeight="true" outlineLevel="0" collapsed="false">
      <c r="A723" s="71" t="s">
        <v>60</v>
      </c>
      <c r="B723" s="71" t="s">
        <v>1391</v>
      </c>
      <c r="C723" s="72" t="n">
        <f aca="false">Cap_15!B112</f>
        <v>84000</v>
      </c>
      <c r="D723" s="72" t="n">
        <f aca="false">Cap_15!D112</f>
        <v>84000</v>
      </c>
      <c r="E723" s="73" t="str">
        <f aca="false">Cap_15!E112</f>
        <v>OK</v>
      </c>
    </row>
    <row r="724" customFormat="false" ht="15" hidden="false" customHeight="true" outlineLevel="0" collapsed="false">
      <c r="A724" s="71" t="s">
        <v>60</v>
      </c>
      <c r="B724" s="71" t="s">
        <v>1392</v>
      </c>
      <c r="C724" s="72" t="n">
        <f aca="false">Cap_15!B113</f>
        <v>0</v>
      </c>
      <c r="D724" s="72" t="n">
        <f aca="false">Cap_15!D113</f>
        <v>0</v>
      </c>
      <c r="E724" s="73" t="str">
        <f aca="false">Cap_15!E113</f>
        <v>OK</v>
      </c>
    </row>
    <row r="725" customFormat="false" ht="15" hidden="false" customHeight="true" outlineLevel="0" collapsed="false">
      <c r="A725" s="71" t="s">
        <v>60</v>
      </c>
      <c r="B725" s="71" t="s">
        <v>1393</v>
      </c>
      <c r="C725" s="72" t="n">
        <f aca="false">Cap_15!B114</f>
        <v>0</v>
      </c>
      <c r="D725" s="72" t="n">
        <f aca="false">Cap_15!D114</f>
        <v>0</v>
      </c>
      <c r="E725" s="73" t="str">
        <f aca="false">Cap_15!E114</f>
        <v>OK</v>
      </c>
    </row>
    <row r="726" customFormat="false" ht="15" hidden="false" customHeight="true" outlineLevel="0" collapsed="false">
      <c r="A726" s="71" t="s">
        <v>60</v>
      </c>
      <c r="B726" s="71" t="s">
        <v>1394</v>
      </c>
      <c r="C726" s="72" t="n">
        <f aca="false">Cap_15!B115</f>
        <v>242000</v>
      </c>
      <c r="D726" s="72" t="n">
        <f aca="false">Cap_15!D115</f>
        <v>242000</v>
      </c>
      <c r="E726" s="73" t="str">
        <f aca="false">Cap_15!E115</f>
        <v>OK</v>
      </c>
    </row>
    <row r="727" customFormat="false" ht="15" hidden="false" customHeight="true" outlineLevel="0" collapsed="false">
      <c r="A727" s="71" t="s">
        <v>60</v>
      </c>
      <c r="B727" s="71" t="s">
        <v>1395</v>
      </c>
      <c r="C727" s="72" t="n">
        <f aca="false">Cap_15!B116</f>
        <v>224000</v>
      </c>
      <c r="D727" s="72" t="n">
        <f aca="false">Cap_15!D116</f>
        <v>224000</v>
      </c>
      <c r="E727" s="73" t="str">
        <f aca="false">Cap_15!E116</f>
        <v>OK</v>
      </c>
    </row>
    <row r="728" customFormat="false" ht="15" hidden="false" customHeight="true" outlineLevel="0" collapsed="false">
      <c r="A728" s="71" t="s">
        <v>60</v>
      </c>
      <c r="B728" s="71" t="s">
        <v>1396</v>
      </c>
      <c r="C728" s="72" t="n">
        <f aca="false">Cap_15!B117</f>
        <v>275000</v>
      </c>
      <c r="D728" s="72" t="n">
        <f aca="false">Cap_15!D117</f>
        <v>275000</v>
      </c>
      <c r="E728" s="73" t="str">
        <f aca="false">Cap_15!E117</f>
        <v>OK</v>
      </c>
    </row>
    <row r="729" customFormat="false" ht="15" hidden="false" customHeight="true" outlineLevel="0" collapsed="false">
      <c r="A729" s="71" t="s">
        <v>60</v>
      </c>
      <c r="B729" s="71" t="s">
        <v>1397</v>
      </c>
      <c r="C729" s="72" t="n">
        <f aca="false">Cap_15!B118</f>
        <v>-18000</v>
      </c>
      <c r="D729" s="72" t="n">
        <f aca="false">Cap_15!D118</f>
        <v>-18000</v>
      </c>
      <c r="E729" s="73" t="str">
        <f aca="false">Cap_15!E118</f>
        <v>OK</v>
      </c>
    </row>
    <row r="730" customFormat="false" ht="15" hidden="false" customHeight="true" outlineLevel="0" collapsed="false">
      <c r="A730" s="71" t="s">
        <v>60</v>
      </c>
      <c r="B730" s="71" t="s">
        <v>1398</v>
      </c>
      <c r="C730" s="72" t="n">
        <f aca="false">Cap_15!B119</f>
        <v>33000</v>
      </c>
      <c r="D730" s="72" t="n">
        <f aca="false">Cap_15!D119</f>
        <v>33000</v>
      </c>
      <c r="E730" s="73" t="str">
        <f aca="false">Cap_15!E119</f>
        <v>OK</v>
      </c>
    </row>
    <row r="731" customFormat="false" ht="15" hidden="false" customHeight="true" outlineLevel="0" collapsed="false">
      <c r="A731" s="71" t="s">
        <v>60</v>
      </c>
      <c r="B731" s="71" t="s">
        <v>1401</v>
      </c>
      <c r="C731" s="72" t="n">
        <f aca="false">Cap_15!B124</f>
        <v>102000</v>
      </c>
      <c r="D731" s="72" t="n">
        <f aca="false">Cap_15!D124</f>
        <v>102000</v>
      </c>
      <c r="E731" s="73" t="str">
        <f aca="false">Cap_15!E124</f>
        <v>OK</v>
      </c>
    </row>
    <row r="732" customFormat="false" ht="15" hidden="false" customHeight="true" outlineLevel="0" collapsed="false">
      <c r="A732" s="71" t="s">
        <v>60</v>
      </c>
      <c r="B732" s="71" t="s">
        <v>1402</v>
      </c>
      <c r="C732" s="72" t="n">
        <f aca="false">Cap_15!B125</f>
        <v>51000</v>
      </c>
      <c r="D732" s="72" t="n">
        <f aca="false">Cap_15!D125</f>
        <v>51000</v>
      </c>
      <c r="E732" s="73" t="str">
        <f aca="false">Cap_15!E125</f>
        <v>OK</v>
      </c>
    </row>
    <row r="733" customFormat="false" ht="15" hidden="false" customHeight="true" outlineLevel="0" collapsed="false">
      <c r="A733" s="71" t="s">
        <v>60</v>
      </c>
      <c r="B733" s="71" t="s">
        <v>1403</v>
      </c>
      <c r="C733" s="72" t="n">
        <f aca="false">Cap_15!B126</f>
        <v>6000</v>
      </c>
      <c r="D733" s="72" t="n">
        <f aca="false">Cap_15!D126</f>
        <v>6000</v>
      </c>
      <c r="E733" s="73" t="str">
        <f aca="false">Cap_15!E126</f>
        <v>OK</v>
      </c>
    </row>
    <row r="734" customFormat="false" ht="15" hidden="false" customHeight="true" outlineLevel="0" collapsed="false">
      <c r="A734" s="71" t="s">
        <v>60</v>
      </c>
      <c r="B734" s="71" t="s">
        <v>1404</v>
      </c>
      <c r="C734" s="72" t="n">
        <f aca="false">Cap_15!B127</f>
        <v>3000</v>
      </c>
      <c r="D734" s="72" t="n">
        <f aca="false">Cap_15!D127</f>
        <v>3000</v>
      </c>
      <c r="E734" s="73" t="str">
        <f aca="false">Cap_15!E127</f>
        <v>OK</v>
      </c>
    </row>
    <row r="735" customFormat="false" ht="15" hidden="false" customHeight="true" outlineLevel="0" collapsed="false">
      <c r="A735" s="71" t="s">
        <v>60</v>
      </c>
      <c r="B735" s="71" t="s">
        <v>1405</v>
      </c>
      <c r="C735" s="72" t="n">
        <f aca="false">Cap_15!B128</f>
        <v>17</v>
      </c>
      <c r="D735" s="72" t="n">
        <f aca="false">Cap_15!D128</f>
        <v>17</v>
      </c>
      <c r="E735" s="73" t="str">
        <f aca="false">Cap_15!E128</f>
        <v>OK</v>
      </c>
    </row>
    <row r="736" customFormat="false" ht="15" hidden="false" customHeight="true" outlineLevel="0" collapsed="false">
      <c r="A736" s="71" t="s">
        <v>60</v>
      </c>
      <c r="B736" s="71" t="s">
        <v>1406</v>
      </c>
      <c r="C736" s="71" t="str">
        <f aca="false">Cap_15!B129</f>
        <v>Ridurre C a 1.000</v>
      </c>
      <c r="D736" s="71" t="str">
        <f aca="false">Cap_15!D129</f>
        <v>Ridurre C a 1.000</v>
      </c>
      <c r="E736" s="73" t="str">
        <f aca="false">Cap_15!E129</f>
        <v>OK</v>
      </c>
    </row>
    <row r="737" customFormat="false" ht="15" hidden="false" customHeight="true" outlineLevel="0" collapsed="false">
      <c r="A737" s="71" t="s">
        <v>63</v>
      </c>
      <c r="B737" s="71" t="s">
        <v>1419</v>
      </c>
      <c r="C737" s="72" t="n">
        <f aca="false">Cap_16!B17</f>
        <v>18</v>
      </c>
      <c r="D737" s="72" t="n">
        <f aca="false">Cap_16!D17</f>
        <v>18</v>
      </c>
      <c r="E737" s="73" t="str">
        <f aca="false">Cap_16!E17</f>
        <v>OK</v>
      </c>
    </row>
    <row r="738" customFormat="false" ht="15" hidden="false" customHeight="true" outlineLevel="0" collapsed="false">
      <c r="A738" s="71" t="s">
        <v>63</v>
      </c>
      <c r="B738" s="71" t="s">
        <v>1420</v>
      </c>
      <c r="C738" s="72" t="n">
        <f aca="false">Cap_16!B18</f>
        <v>4</v>
      </c>
      <c r="D738" s="72" t="n">
        <f aca="false">Cap_16!D18</f>
        <v>4</v>
      </c>
      <c r="E738" s="73" t="str">
        <f aca="false">Cap_16!E18</f>
        <v>OK</v>
      </c>
    </row>
    <row r="739" customFormat="false" ht="15" hidden="false" customHeight="true" outlineLevel="0" collapsed="false">
      <c r="A739" s="71" t="s">
        <v>63</v>
      </c>
      <c r="B739" s="71" t="s">
        <v>1421</v>
      </c>
      <c r="C739" s="72" t="n">
        <f aca="false">Cap_16!B19</f>
        <v>60000</v>
      </c>
      <c r="D739" s="72" t="n">
        <f aca="false">Cap_16!D19</f>
        <v>60000</v>
      </c>
      <c r="E739" s="73" t="str">
        <f aca="false">Cap_16!E19</f>
        <v>OK</v>
      </c>
    </row>
    <row r="740" customFormat="false" ht="15" hidden="false" customHeight="true" outlineLevel="0" collapsed="false">
      <c r="A740" s="71" t="s">
        <v>63</v>
      </c>
      <c r="B740" s="71" t="s">
        <v>1422</v>
      </c>
      <c r="C740" s="72" t="n">
        <f aca="false">Cap_16!B20</f>
        <v>40000</v>
      </c>
      <c r="D740" s="72" t="n">
        <f aca="false">Cap_16!D20</f>
        <v>40000</v>
      </c>
      <c r="E740" s="73" t="str">
        <f aca="false">Cap_16!E20</f>
        <v>OK</v>
      </c>
    </row>
    <row r="741" customFormat="false" ht="15" hidden="false" customHeight="true" outlineLevel="0" collapsed="false">
      <c r="A741" s="71" t="s">
        <v>63</v>
      </c>
      <c r="B741" s="71" t="s">
        <v>1423</v>
      </c>
      <c r="C741" s="72" t="n">
        <f aca="false">Cap_16!B21</f>
        <v>20000</v>
      </c>
      <c r="D741" s="72" t="n">
        <f aca="false">Cap_16!D21</f>
        <v>20000</v>
      </c>
      <c r="E741" s="73" t="str">
        <f aca="false">Cap_16!E21</f>
        <v>OK</v>
      </c>
    </row>
    <row r="742" customFormat="false" ht="15" hidden="false" customHeight="true" outlineLevel="0" collapsed="false">
      <c r="A742" s="71" t="s">
        <v>63</v>
      </c>
      <c r="B742" s="71" t="s">
        <v>1424</v>
      </c>
      <c r="C742" s="72" t="n">
        <f aca="false">Cap_16!B22</f>
        <v>20000</v>
      </c>
      <c r="D742" s="72" t="n">
        <f aca="false">Cap_16!D22</f>
        <v>20000</v>
      </c>
      <c r="E742" s="73" t="str">
        <f aca="false">Cap_16!E22</f>
        <v>OK</v>
      </c>
    </row>
    <row r="743" customFormat="false" ht="15" hidden="false" customHeight="true" outlineLevel="0" collapsed="false">
      <c r="A743" s="71" t="s">
        <v>63</v>
      </c>
      <c r="B743" s="71" t="s">
        <v>1425</v>
      </c>
      <c r="C743" s="72" t="n">
        <f aca="false">Cap_16!B23</f>
        <v>140000</v>
      </c>
      <c r="D743" s="72" t="n">
        <f aca="false">Cap_16!D23</f>
        <v>140000</v>
      </c>
      <c r="E743" s="73" t="str">
        <f aca="false">Cap_16!E23</f>
        <v>OK</v>
      </c>
    </row>
    <row r="744" customFormat="false" ht="15" hidden="false" customHeight="true" outlineLevel="0" collapsed="false">
      <c r="A744" s="71" t="s">
        <v>63</v>
      </c>
      <c r="B744" s="71" t="s">
        <v>1426</v>
      </c>
      <c r="C744" s="72" t="n">
        <f aca="false">Cap_16!B24</f>
        <v>140000</v>
      </c>
      <c r="D744" s="72" t="n">
        <f aca="false">Cap_16!D24</f>
        <v>140000</v>
      </c>
      <c r="E744" s="73" t="str">
        <f aca="false">Cap_16!E24</f>
        <v>OK</v>
      </c>
    </row>
    <row r="745" customFormat="false" ht="15" hidden="false" customHeight="true" outlineLevel="0" collapsed="false">
      <c r="A745" s="71" t="s">
        <v>63</v>
      </c>
      <c r="B745" s="71" t="s">
        <v>1427</v>
      </c>
      <c r="C745" s="72" t="n">
        <f aca="false">Cap_16!B25</f>
        <v>148000</v>
      </c>
      <c r="D745" s="72" t="n">
        <f aca="false">Cap_16!D25</f>
        <v>148000</v>
      </c>
      <c r="E745" s="73" t="str">
        <f aca="false">Cap_16!E25</f>
        <v>OK</v>
      </c>
    </row>
    <row r="746" customFormat="false" ht="15" hidden="false" customHeight="true" outlineLevel="0" collapsed="false">
      <c r="A746" s="71" t="s">
        <v>63</v>
      </c>
      <c r="B746" s="71" t="s">
        <v>1428</v>
      </c>
      <c r="C746" s="72" t="n">
        <f aca="false">Cap_16!B26</f>
        <v>8000</v>
      </c>
      <c r="D746" s="72" t="n">
        <f aca="false">Cap_16!D26</f>
        <v>8000</v>
      </c>
      <c r="E746" s="73" t="str">
        <f aca="false">Cap_16!E26</f>
        <v>OK</v>
      </c>
    </row>
    <row r="747" customFormat="false" ht="15" hidden="false" customHeight="true" outlineLevel="0" collapsed="false">
      <c r="A747" s="71" t="s">
        <v>63</v>
      </c>
      <c r="B747" s="71" t="s">
        <v>1429</v>
      </c>
      <c r="C747" s="72" t="n">
        <f aca="false">Cap_16!B27</f>
        <v>40000</v>
      </c>
      <c r="D747" s="72" t="n">
        <f aca="false">Cap_16!D27</f>
        <v>40000</v>
      </c>
      <c r="E747" s="73" t="str">
        <f aca="false">Cap_16!E27</f>
        <v>OK</v>
      </c>
    </row>
    <row r="748" customFormat="false" ht="15" hidden="false" customHeight="true" outlineLevel="0" collapsed="false">
      <c r="A748" s="71" t="s">
        <v>63</v>
      </c>
      <c r="B748" s="71" t="s">
        <v>1430</v>
      </c>
      <c r="C748" s="71" t="str">
        <f aca="false">Cap_16!B28</f>
        <v>Make</v>
      </c>
      <c r="D748" s="71" t="str">
        <f aca="false">Cap_16!D28</f>
        <v>Make</v>
      </c>
      <c r="E748" s="73" t="str">
        <f aca="false">Cap_16!E28</f>
        <v>OK</v>
      </c>
    </row>
    <row r="749" customFormat="false" ht="15" hidden="false" customHeight="true" outlineLevel="0" collapsed="false">
      <c r="A749" s="71" t="s">
        <v>63</v>
      </c>
      <c r="B749" s="71" t="s">
        <v>1437</v>
      </c>
      <c r="C749" s="72" t="n">
        <f aca="false">Cap_16!B36</f>
        <v>6</v>
      </c>
      <c r="D749" s="72" t="n">
        <f aca="false">Cap_16!D36</f>
        <v>6</v>
      </c>
      <c r="E749" s="73" t="str">
        <f aca="false">Cap_16!E36</f>
        <v>OK</v>
      </c>
    </row>
    <row r="750" customFormat="false" ht="15" hidden="false" customHeight="true" outlineLevel="0" collapsed="false">
      <c r="A750" s="71" t="s">
        <v>63</v>
      </c>
      <c r="B750" s="71" t="s">
        <v>1438</v>
      </c>
      <c r="C750" s="72" t="n">
        <f aca="false">Cap_16!B37</f>
        <v>20000</v>
      </c>
      <c r="D750" s="72" t="n">
        <f aca="false">Cap_16!D37</f>
        <v>20000</v>
      </c>
      <c r="E750" s="73" t="str">
        <f aca="false">Cap_16!E37</f>
        <v>OK</v>
      </c>
    </row>
    <row r="751" customFormat="false" ht="15" hidden="false" customHeight="true" outlineLevel="0" collapsed="false">
      <c r="A751" s="71" t="s">
        <v>63</v>
      </c>
      <c r="B751" s="71" t="s">
        <v>1440</v>
      </c>
      <c r="C751" s="72" t="n">
        <f aca="false">Cap_16!B39</f>
        <v>30000</v>
      </c>
      <c r="D751" s="72" t="n">
        <f aca="false">Cap_16!D39</f>
        <v>30000</v>
      </c>
      <c r="E751" s="73" t="str">
        <f aca="false">Cap_16!E39</f>
        <v>OK</v>
      </c>
    </row>
    <row r="752" customFormat="false" ht="15" hidden="false" customHeight="true" outlineLevel="0" collapsed="false">
      <c r="A752" s="71" t="s">
        <v>63</v>
      </c>
      <c r="B752" s="71" t="s">
        <v>1445</v>
      </c>
      <c r="C752" s="72" t="n">
        <f aca="false">Cap_16!B46</f>
        <v>3000</v>
      </c>
      <c r="D752" s="72" t="n">
        <f aca="false">Cap_16!D46</f>
        <v>3000</v>
      </c>
      <c r="E752" s="73" t="str">
        <f aca="false">Cap_16!E46</f>
        <v>OK</v>
      </c>
    </row>
    <row r="753" customFormat="false" ht="15" hidden="false" customHeight="true" outlineLevel="0" collapsed="false">
      <c r="A753" s="71" t="s">
        <v>63</v>
      </c>
      <c r="B753" s="71" t="s">
        <v>1446</v>
      </c>
      <c r="C753" s="72" t="n">
        <f aca="false">Cap_16!B47</f>
        <v>78000</v>
      </c>
      <c r="D753" s="72" t="n">
        <f aca="false">Cap_16!D47</f>
        <v>78000</v>
      </c>
      <c r="E753" s="73" t="str">
        <f aca="false">Cap_16!E47</f>
        <v>OK</v>
      </c>
    </row>
    <row r="754" customFormat="false" ht="15" hidden="false" customHeight="true" outlineLevel="0" collapsed="false">
      <c r="A754" s="71" t="s">
        <v>63</v>
      </c>
      <c r="B754" s="71" t="s">
        <v>1447</v>
      </c>
      <c r="C754" s="72" t="n">
        <f aca="false">Cap_16!B48</f>
        <v>84000</v>
      </c>
      <c r="D754" s="72" t="n">
        <f aca="false">Cap_16!D48</f>
        <v>84000</v>
      </c>
      <c r="E754" s="73" t="str">
        <f aca="false">Cap_16!E48</f>
        <v>OK</v>
      </c>
    </row>
    <row r="755" customFormat="false" ht="15" hidden="false" customHeight="true" outlineLevel="0" collapsed="false">
      <c r="A755" s="71" t="s">
        <v>63</v>
      </c>
      <c r="B755" s="71" t="s">
        <v>1448</v>
      </c>
      <c r="C755" s="72" t="n">
        <f aca="false">Cap_16!B49</f>
        <v>26</v>
      </c>
      <c r="D755" s="72" t="n">
        <f aca="false">Cap_16!D49</f>
        <v>26</v>
      </c>
      <c r="E755" s="73" t="str">
        <f aca="false">Cap_16!E49</f>
        <v>OK</v>
      </c>
    </row>
    <row r="756" customFormat="false" ht="15" hidden="false" customHeight="true" outlineLevel="0" collapsed="false">
      <c r="A756" s="71" t="s">
        <v>63</v>
      </c>
      <c r="B756" s="71" t="s">
        <v>1449</v>
      </c>
      <c r="C756" s="72" t="n">
        <f aca="false">Cap_16!B50</f>
        <v>28</v>
      </c>
      <c r="D756" s="72" t="n">
        <f aca="false">Cap_16!D50</f>
        <v>28</v>
      </c>
      <c r="E756" s="73" t="str">
        <f aca="false">Cap_16!E50</f>
        <v>OK</v>
      </c>
    </row>
    <row r="757" customFormat="false" ht="15" hidden="false" customHeight="true" outlineLevel="0" collapsed="false">
      <c r="A757" s="71" t="s">
        <v>63</v>
      </c>
      <c r="B757" s="71" t="s">
        <v>1450</v>
      </c>
      <c r="C757" s="72" t="n">
        <f aca="false">Cap_16!B51</f>
        <v>1062000</v>
      </c>
      <c r="D757" s="72" t="n">
        <f aca="false">Cap_16!D51</f>
        <v>1062000</v>
      </c>
      <c r="E757" s="73" t="str">
        <f aca="false">Cap_16!E51</f>
        <v>OK</v>
      </c>
    </row>
    <row r="758" customFormat="false" ht="15" hidden="false" customHeight="true" outlineLevel="0" collapsed="false">
      <c r="A758" s="71" t="s">
        <v>63</v>
      </c>
      <c r="B758" s="71" t="s">
        <v>1451</v>
      </c>
      <c r="C758" s="72" t="n">
        <f aca="false">Cap_16!B52</f>
        <v>248000</v>
      </c>
      <c r="D758" s="72" t="n">
        <f aca="false">Cap_16!D52</f>
        <v>248000</v>
      </c>
      <c r="E758" s="73" t="str">
        <f aca="false">Cap_16!E52</f>
        <v>OK</v>
      </c>
    </row>
    <row r="759" customFormat="false" ht="15" hidden="false" customHeight="true" outlineLevel="0" collapsed="false">
      <c r="A759" s="71" t="s">
        <v>63</v>
      </c>
      <c r="B759" s="71" t="s">
        <v>1452</v>
      </c>
      <c r="C759" s="72" t="n">
        <f aca="false">Cap_16!B53</f>
        <v>242000</v>
      </c>
      <c r="D759" s="72" t="n">
        <f aca="false">Cap_16!D53</f>
        <v>242000</v>
      </c>
      <c r="E759" s="73" t="str">
        <f aca="false">Cap_16!E53</f>
        <v>OK</v>
      </c>
    </row>
    <row r="760" customFormat="false" ht="15" hidden="false" customHeight="true" outlineLevel="0" collapsed="false">
      <c r="A760" s="71" t="s">
        <v>63</v>
      </c>
      <c r="B760" s="71" t="s">
        <v>1453</v>
      </c>
      <c r="C760" s="72" t="n">
        <f aca="false">Cap_16!B54</f>
        <v>275000</v>
      </c>
      <c r="D760" s="72" t="n">
        <f aca="false">Cap_16!D54</f>
        <v>275000</v>
      </c>
      <c r="E760" s="73" t="str">
        <f aca="false">Cap_16!E54</f>
        <v>OK</v>
      </c>
    </row>
    <row r="761" customFormat="false" ht="15" hidden="false" customHeight="true" outlineLevel="0" collapsed="false">
      <c r="A761" s="71" t="s">
        <v>63</v>
      </c>
      <c r="B761" s="71" t="s">
        <v>1454</v>
      </c>
      <c r="C761" s="72" t="n">
        <f aca="false">Cap_16!B55</f>
        <v>6000</v>
      </c>
      <c r="D761" s="72" t="n">
        <f aca="false">Cap_16!D55</f>
        <v>6000</v>
      </c>
      <c r="E761" s="73" t="str">
        <f aca="false">Cap_16!E55</f>
        <v>OK</v>
      </c>
    </row>
    <row r="762" customFormat="false" ht="15" hidden="false" customHeight="true" outlineLevel="0" collapsed="false">
      <c r="A762" s="71" t="s">
        <v>63</v>
      </c>
      <c r="B762" s="71" t="s">
        <v>1457</v>
      </c>
      <c r="C762" s="72" t="n">
        <f aca="false">Cap_16!B60</f>
        <v>15000</v>
      </c>
      <c r="D762" s="72" t="n">
        <f aca="false">Cap_16!D60</f>
        <v>15000</v>
      </c>
      <c r="E762" s="73" t="str">
        <f aca="false">Cap_16!E60</f>
        <v>OK</v>
      </c>
    </row>
    <row r="763" customFormat="false" ht="15" hidden="false" customHeight="true" outlineLevel="0" collapsed="false">
      <c r="A763" s="71" t="s">
        <v>63</v>
      </c>
      <c r="B763" s="71" t="s">
        <v>1458</v>
      </c>
      <c r="C763" s="72" t="n">
        <f aca="false">Cap_16!B61</f>
        <v>93000</v>
      </c>
      <c r="D763" s="72" t="n">
        <f aca="false">Cap_16!D61</f>
        <v>93000</v>
      </c>
      <c r="E763" s="73" t="str">
        <f aca="false">Cap_16!E61</f>
        <v>OK</v>
      </c>
    </row>
    <row r="764" customFormat="false" ht="15" hidden="false" customHeight="true" outlineLevel="0" collapsed="false">
      <c r="A764" s="71" t="s">
        <v>63</v>
      </c>
      <c r="B764" s="71" t="s">
        <v>1459</v>
      </c>
      <c r="C764" s="72" t="n">
        <f aca="false">Cap_16!B62</f>
        <v>9000</v>
      </c>
      <c r="D764" s="72" t="n">
        <f aca="false">Cap_16!D62</f>
        <v>9000</v>
      </c>
      <c r="E764" s="73" t="str">
        <f aca="false">Cap_16!E62</f>
        <v>OK</v>
      </c>
    </row>
    <row r="765" customFormat="false" ht="15" hidden="false" customHeight="true" outlineLevel="0" collapsed="false">
      <c r="A765" s="71" t="s">
        <v>63</v>
      </c>
      <c r="B765" s="71" t="s">
        <v>1462</v>
      </c>
      <c r="C765" s="72" t="n">
        <f aca="false">Cap_16!B67</f>
        <v>2571.42857142857</v>
      </c>
      <c r="D765" s="72" t="n">
        <f aca="false">Cap_16!D67</f>
        <v>2571</v>
      </c>
      <c r="E765" s="73" t="str">
        <f aca="false">Cap_16!E67</f>
        <v>OK</v>
      </c>
    </row>
    <row r="766" customFormat="false" ht="15" hidden="false" customHeight="true" outlineLevel="0" collapsed="false">
      <c r="A766" s="71" t="s">
        <v>63</v>
      </c>
      <c r="B766" s="71" t="s">
        <v>1463</v>
      </c>
      <c r="C766" s="72" t="n">
        <f aca="false">Cap_16!B68</f>
        <v>51000</v>
      </c>
      <c r="D766" s="72" t="n">
        <f aca="false">Cap_16!D68</f>
        <v>51000</v>
      </c>
      <c r="E766" s="73" t="str">
        <f aca="false">Cap_16!E68</f>
        <v>OK</v>
      </c>
    </row>
    <row r="767" customFormat="false" ht="15" hidden="false" customHeight="true" outlineLevel="0" collapsed="false">
      <c r="A767" s="71" t="s">
        <v>63</v>
      </c>
      <c r="B767" s="71" t="s">
        <v>1464</v>
      </c>
      <c r="C767" s="72" t="n">
        <f aca="false">Cap_16!B69</f>
        <v>27000</v>
      </c>
      <c r="D767" s="72" t="n">
        <f aca="false">Cap_16!D69</f>
        <v>27000</v>
      </c>
      <c r="E767" s="73" t="str">
        <f aca="false">Cap_16!E69</f>
        <v>OK</v>
      </c>
    </row>
    <row r="768" customFormat="false" ht="15" hidden="false" customHeight="true" outlineLevel="0" collapsed="false">
      <c r="A768" s="71" t="s">
        <v>63</v>
      </c>
      <c r="B768" s="71" t="s">
        <v>1465</v>
      </c>
      <c r="C768" s="72" t="n">
        <f aca="false">Cap_16!B70</f>
        <v>33000</v>
      </c>
      <c r="D768" s="72" t="n">
        <f aca="false">Cap_16!D70</f>
        <v>33000</v>
      </c>
      <c r="E768" s="73" t="str">
        <f aca="false">Cap_16!E70</f>
        <v>OK</v>
      </c>
    </row>
    <row r="769" customFormat="false" ht="15" hidden="false" customHeight="true" outlineLevel="0" collapsed="false">
      <c r="A769" s="71" t="s">
        <v>63</v>
      </c>
      <c r="B769" s="71" t="s">
        <v>1466</v>
      </c>
      <c r="C769" s="72" t="n">
        <f aca="false">Cap_16!B71</f>
        <v>12000</v>
      </c>
      <c r="D769" s="72" t="n">
        <f aca="false">Cap_16!D71</f>
        <v>12000</v>
      </c>
      <c r="E769" s="73" t="str">
        <f aca="false">Cap_16!E71</f>
        <v>OK</v>
      </c>
    </row>
    <row r="770" customFormat="false" ht="15" hidden="false" customHeight="true" outlineLevel="0" collapsed="false">
      <c r="A770" s="71" t="s">
        <v>63</v>
      </c>
      <c r="B770" s="71" t="s">
        <v>1467</v>
      </c>
      <c r="C770" s="72" t="n">
        <f aca="false">Cap_16!B72</f>
        <v>4</v>
      </c>
      <c r="D770" s="72" t="n">
        <f aca="false">Cap_16!D72</f>
        <v>4</v>
      </c>
      <c r="E770" s="73" t="str">
        <f aca="false">Cap_16!E72</f>
        <v>OK</v>
      </c>
    </row>
    <row r="771" customFormat="false" ht="15" hidden="false" customHeight="true" outlineLevel="0" collapsed="false">
      <c r="A771" s="71" t="s">
        <v>63</v>
      </c>
      <c r="B771" s="71" t="s">
        <v>1406</v>
      </c>
      <c r="C771" s="71" t="str">
        <f aca="false">Cap_16!B73</f>
        <v>Rinunciare a 1.000 unità di C</v>
      </c>
      <c r="D771" s="71" t="str">
        <f aca="false">Cap_16!D73</f>
        <v>Rinunciare a 1.000 unità di C</v>
      </c>
      <c r="E771" s="73" t="str">
        <f aca="false">Cap_16!E73</f>
        <v>OK</v>
      </c>
    </row>
    <row r="772" customFormat="false" ht="15" hidden="false" customHeight="true" outlineLevel="0" collapsed="false">
      <c r="A772" s="71" t="s">
        <v>66</v>
      </c>
      <c r="B772" s="71" t="s">
        <v>1475</v>
      </c>
      <c r="C772" s="72" t="n">
        <f aca="false">Cap_17!B11</f>
        <v>100</v>
      </c>
      <c r="D772" s="72" t="n">
        <f aca="false">Cap_17!D11</f>
        <v>100</v>
      </c>
      <c r="E772" s="73" t="str">
        <f aca="false">Cap_17!E11</f>
        <v>OK</v>
      </c>
    </row>
    <row r="773" customFormat="false" ht="15" hidden="false" customHeight="true" outlineLevel="0" collapsed="false">
      <c r="A773" s="71" t="s">
        <v>66</v>
      </c>
      <c r="B773" s="71" t="s">
        <v>1476</v>
      </c>
      <c r="C773" s="76" t="n">
        <f aca="false">Cap_17!B12</f>
        <v>0.2</v>
      </c>
      <c r="D773" s="76" t="n">
        <f aca="false">Cap_17!D12</f>
        <v>0.2</v>
      </c>
      <c r="E773" s="73" t="str">
        <f aca="false">Cap_17!E12</f>
        <v>OK</v>
      </c>
    </row>
    <row r="774" customFormat="false" ht="15" hidden="false" customHeight="true" outlineLevel="0" collapsed="false">
      <c r="A774" s="71" t="s">
        <v>66</v>
      </c>
      <c r="B774" s="71" t="s">
        <v>1479</v>
      </c>
      <c r="C774" s="72" t="n">
        <f aca="false">Cap_17!B15</f>
        <v>80</v>
      </c>
      <c r="D774" s="72" t="n">
        <f aca="false">Cap_17!D15</f>
        <v>80</v>
      </c>
      <c r="E774" s="73" t="str">
        <f aca="false">Cap_17!E15</f>
        <v>OK</v>
      </c>
    </row>
    <row r="775" customFormat="false" ht="15" hidden="false" customHeight="true" outlineLevel="0" collapsed="false">
      <c r="A775" s="71" t="s">
        <v>66</v>
      </c>
      <c r="B775" s="71" t="s">
        <v>1486</v>
      </c>
      <c r="C775" s="72" t="n">
        <f aca="false">Cap_17!B24</f>
        <v>103</v>
      </c>
      <c r="D775" s="72" t="n">
        <f aca="false">Cap_17!D24</f>
        <v>103</v>
      </c>
      <c r="E775" s="73" t="str">
        <f aca="false">Cap_17!E24</f>
        <v>OK</v>
      </c>
    </row>
    <row r="776" customFormat="false" ht="15" hidden="false" customHeight="true" outlineLevel="0" collapsed="false">
      <c r="A776" s="71" t="s">
        <v>66</v>
      </c>
      <c r="B776" s="71" t="s">
        <v>1488</v>
      </c>
      <c r="C776" s="72" t="n">
        <f aca="false">Cap_17!B26</f>
        <v>100</v>
      </c>
      <c r="D776" s="72" t="n">
        <f aca="false">Cap_17!D26</f>
        <v>100</v>
      </c>
      <c r="E776" s="73" t="str">
        <f aca="false">Cap_17!E26</f>
        <v>OK</v>
      </c>
    </row>
    <row r="777" customFormat="false" ht="15" hidden="false" customHeight="true" outlineLevel="0" collapsed="false">
      <c r="A777" s="71" t="s">
        <v>66</v>
      </c>
      <c r="B777" s="71" t="s">
        <v>1493</v>
      </c>
      <c r="C777" s="72" t="n">
        <f aca="false">Cap_17!B35</f>
        <v>30</v>
      </c>
      <c r="D777" s="72" t="n">
        <f aca="false">Cap_17!D35</f>
        <v>30</v>
      </c>
      <c r="E777" s="73" t="str">
        <f aca="false">Cap_17!E35</f>
        <v>OK</v>
      </c>
    </row>
    <row r="778" customFormat="false" ht="15" hidden="false" customHeight="true" outlineLevel="0" collapsed="false">
      <c r="A778" s="71" t="s">
        <v>66</v>
      </c>
      <c r="B778" s="71" t="s">
        <v>1494</v>
      </c>
      <c r="C778" s="72" t="n">
        <f aca="false">Cap_17!B36</f>
        <v>95</v>
      </c>
      <c r="D778" s="72" t="n">
        <f aca="false">Cap_17!D36</f>
        <v>95</v>
      </c>
      <c r="E778" s="73" t="str">
        <f aca="false">Cap_17!E36</f>
        <v>OK</v>
      </c>
    </row>
    <row r="779" customFormat="false" ht="15" hidden="false" customHeight="true" outlineLevel="0" collapsed="false">
      <c r="A779" s="71" t="s">
        <v>66</v>
      </c>
      <c r="B779" s="71" t="s">
        <v>1495</v>
      </c>
      <c r="C779" s="76" t="n">
        <f aca="false">Cap_17!B37</f>
        <v>0.05</v>
      </c>
      <c r="D779" s="76" t="n">
        <f aca="false">Cap_17!D37</f>
        <v>0.05</v>
      </c>
      <c r="E779" s="73" t="str">
        <f aca="false">Cap_17!E37</f>
        <v>OK</v>
      </c>
    </row>
    <row r="780" customFormat="false" ht="15" hidden="false" customHeight="true" outlineLevel="0" collapsed="false">
      <c r="A780" s="71" t="s">
        <v>66</v>
      </c>
      <c r="B780" s="71" t="s">
        <v>1496</v>
      </c>
      <c r="C780" s="72" t="n">
        <f aca="false">Cap_17!B38</f>
        <v>25</v>
      </c>
      <c r="D780" s="72" t="n">
        <f aca="false">Cap_17!D38</f>
        <v>25</v>
      </c>
      <c r="E780" s="73" t="str">
        <f aca="false">Cap_17!E38</f>
        <v>OK</v>
      </c>
    </row>
    <row r="781" customFormat="false" ht="15" hidden="false" customHeight="true" outlineLevel="0" collapsed="false">
      <c r="A781" s="71" t="s">
        <v>66</v>
      </c>
      <c r="B781" s="71" t="s">
        <v>1497</v>
      </c>
      <c r="C781" s="76" t="n">
        <f aca="false">Cap_17!B39</f>
        <v>0.166666666666667</v>
      </c>
      <c r="D781" s="76" t="n">
        <f aca="false">Cap_17!D39</f>
        <v>0.167</v>
      </c>
      <c r="E781" s="73" t="str">
        <f aca="false">Cap_17!E39</f>
        <v>OK</v>
      </c>
    </row>
    <row r="782" customFormat="false" ht="15" hidden="false" customHeight="true" outlineLevel="0" collapsed="false">
      <c r="A782" s="71" t="s">
        <v>66</v>
      </c>
      <c r="B782" s="71" t="s">
        <v>1498</v>
      </c>
      <c r="C782" s="72" t="n">
        <f aca="false">Cap_17!B40</f>
        <v>30000</v>
      </c>
      <c r="D782" s="72" t="n">
        <f aca="false">Cap_17!D40</f>
        <v>30000</v>
      </c>
      <c r="E782" s="73" t="str">
        <f aca="false">Cap_17!E40</f>
        <v>OK</v>
      </c>
    </row>
    <row r="783" customFormat="false" ht="15" hidden="false" customHeight="true" outlineLevel="0" collapsed="false">
      <c r="A783" s="71" t="s">
        <v>66</v>
      </c>
      <c r="B783" s="71" t="s">
        <v>1499</v>
      </c>
      <c r="C783" s="72" t="n">
        <f aca="false">Cap_17!B41</f>
        <v>1200</v>
      </c>
      <c r="D783" s="72" t="n">
        <f aca="false">Cap_17!D41</f>
        <v>1200</v>
      </c>
      <c r="E783" s="73" t="str">
        <f aca="false">Cap_17!E41</f>
        <v>OK</v>
      </c>
    </row>
    <row r="784" customFormat="false" ht="15" hidden="false" customHeight="true" outlineLevel="0" collapsed="false">
      <c r="A784" s="71" t="s">
        <v>66</v>
      </c>
      <c r="B784" s="71" t="s">
        <v>1500</v>
      </c>
      <c r="C784" s="72" t="n">
        <f aca="false">Cap_17!B42</f>
        <v>30000</v>
      </c>
      <c r="D784" s="72" t="n">
        <f aca="false">Cap_17!D42</f>
        <v>30000</v>
      </c>
      <c r="E784" s="73" t="str">
        <f aca="false">Cap_17!E42</f>
        <v>OK</v>
      </c>
    </row>
    <row r="785" customFormat="false" ht="15" hidden="false" customHeight="true" outlineLevel="0" collapsed="false">
      <c r="A785" s="71" t="s">
        <v>66</v>
      </c>
      <c r="B785" s="71" t="s">
        <v>1501</v>
      </c>
      <c r="C785" s="76" t="n">
        <f aca="false">Cap_17!B43</f>
        <v>0.2</v>
      </c>
      <c r="D785" s="76" t="n">
        <f aca="false">Cap_17!D43</f>
        <v>0.2</v>
      </c>
      <c r="E785" s="73" t="str">
        <f aca="false">Cap_17!E43</f>
        <v>OK</v>
      </c>
    </row>
    <row r="786" customFormat="false" ht="15" hidden="false" customHeight="true" outlineLevel="0" collapsed="false">
      <c r="A786" s="71" t="s">
        <v>66</v>
      </c>
      <c r="B786" s="71" t="s">
        <v>1507</v>
      </c>
      <c r="C786" s="72" t="n">
        <f aca="false">Cap_17!B52</f>
        <v>114</v>
      </c>
      <c r="D786" s="72" t="n">
        <f aca="false">Cap_17!D52</f>
        <v>114</v>
      </c>
      <c r="E786" s="73" t="str">
        <f aca="false">Cap_17!E52</f>
        <v>OK</v>
      </c>
    </row>
    <row r="787" customFormat="false" ht="15" hidden="false" customHeight="true" outlineLevel="0" collapsed="false">
      <c r="A787" s="71" t="s">
        <v>66</v>
      </c>
      <c r="B787" s="71" t="s">
        <v>1476</v>
      </c>
      <c r="C787" s="76" t="n">
        <f aca="false">Cap_17!B54</f>
        <v>0.333333333333333</v>
      </c>
      <c r="D787" s="76" t="n">
        <f aca="false">Cap_17!D54</f>
        <v>0.333</v>
      </c>
      <c r="E787" s="73" t="str">
        <f aca="false">Cap_17!E54</f>
        <v>OK</v>
      </c>
    </row>
    <row r="788" customFormat="false" ht="15" hidden="false" customHeight="true" outlineLevel="0" collapsed="false">
      <c r="A788" s="71" t="s">
        <v>66</v>
      </c>
      <c r="B788" s="71" t="s">
        <v>1509</v>
      </c>
      <c r="C788" s="76" t="n">
        <f aca="false">Cap_17!B55</f>
        <v>0.5</v>
      </c>
      <c r="D788" s="76" t="n">
        <f aca="false">Cap_17!D55</f>
        <v>0.5</v>
      </c>
      <c r="E788" s="73" t="str">
        <f aca="false">Cap_17!E55</f>
        <v>OK</v>
      </c>
    </row>
    <row r="789" customFormat="false" ht="15" hidden="false" customHeight="true" outlineLevel="0" collapsed="false">
      <c r="A789" s="71" t="s">
        <v>66</v>
      </c>
      <c r="B789" s="71" t="s">
        <v>1180</v>
      </c>
      <c r="C789" s="72" t="n">
        <f aca="false">Cap_17!B62</f>
        <v>42</v>
      </c>
      <c r="D789" s="72" t="n">
        <f aca="false">Cap_17!D62</f>
        <v>42</v>
      </c>
      <c r="E789" s="73" t="str">
        <f aca="false">Cap_17!E62</f>
        <v>OK</v>
      </c>
    </row>
    <row r="790" customFormat="false" ht="15" hidden="false" customHeight="true" outlineLevel="0" collapsed="false">
      <c r="A790" s="71" t="s">
        <v>66</v>
      </c>
      <c r="B790" s="71" t="s">
        <v>1513</v>
      </c>
      <c r="C790" s="76" t="n">
        <f aca="false">Cap_17!B63</f>
        <v>-0.0338983050847458</v>
      </c>
      <c r="D790" s="76" t="n">
        <f aca="false">Cap_17!D63</f>
        <v>-0.034</v>
      </c>
      <c r="E790" s="73" t="str">
        <f aca="false">Cap_17!E63</f>
        <v>OK</v>
      </c>
    </row>
    <row r="791" customFormat="false" ht="15" hidden="false" customHeight="true" outlineLevel="0" collapsed="false">
      <c r="A791" s="71" t="s">
        <v>66</v>
      </c>
      <c r="B791" s="71" t="s">
        <v>1514</v>
      </c>
      <c r="C791" s="76" t="n">
        <f aca="false">Cap_17!B64</f>
        <v>-0.0952380952380952</v>
      </c>
      <c r="D791" s="76" t="n">
        <f aca="false">Cap_17!D64</f>
        <v>-0.095</v>
      </c>
      <c r="E791" s="73" t="str">
        <f aca="false">Cap_17!E64</f>
        <v>OK</v>
      </c>
    </row>
    <row r="792" customFormat="false" ht="15" hidden="false" customHeight="true" outlineLevel="0" collapsed="false">
      <c r="A792" s="71" t="s">
        <v>66</v>
      </c>
      <c r="B792" s="71" t="s">
        <v>1515</v>
      </c>
      <c r="C792" s="72" t="n">
        <f aca="false">Cap_17!B65</f>
        <v>12600</v>
      </c>
      <c r="D792" s="72" t="n">
        <f aca="false">Cap_17!D65</f>
        <v>12600</v>
      </c>
      <c r="E792" s="73" t="str">
        <f aca="false">Cap_17!E65</f>
        <v>OK</v>
      </c>
    </row>
    <row r="793" customFormat="false" ht="15" hidden="false" customHeight="true" outlineLevel="0" collapsed="false">
      <c r="A793" s="71" t="s">
        <v>66</v>
      </c>
      <c r="B793" s="71" t="s">
        <v>1516</v>
      </c>
      <c r="C793" s="72" t="n">
        <f aca="false">Cap_17!B66</f>
        <v>22800</v>
      </c>
      <c r="D793" s="72" t="n">
        <f aca="false">Cap_17!D66</f>
        <v>22800</v>
      </c>
      <c r="E793" s="73" t="str">
        <f aca="false">Cap_17!E66</f>
        <v>OK</v>
      </c>
    </row>
    <row r="794" customFormat="false" ht="15" hidden="false" customHeight="true" outlineLevel="0" collapsed="false">
      <c r="A794" s="71" t="s">
        <v>66</v>
      </c>
      <c r="B794" s="71" t="s">
        <v>1519</v>
      </c>
      <c r="C794" s="72" t="n">
        <f aca="false">Cap_17!B69</f>
        <v>7</v>
      </c>
      <c r="D794" s="72" t="n">
        <f aca="false">Cap_17!D69</f>
        <v>7</v>
      </c>
      <c r="E794" s="73" t="str">
        <f aca="false">Cap_17!E69</f>
        <v>OK</v>
      </c>
    </row>
    <row r="795" customFormat="false" ht="15" hidden="false" customHeight="true" outlineLevel="0" collapsed="false">
      <c r="A795" s="71" t="s">
        <v>66</v>
      </c>
      <c r="B795" s="71" t="s">
        <v>1522</v>
      </c>
      <c r="C795" s="72" t="n">
        <f aca="false">Cap_17!B74</f>
        <v>117</v>
      </c>
      <c r="D795" s="72" t="n">
        <f aca="false">Cap_17!D74</f>
        <v>117</v>
      </c>
      <c r="E795" s="73" t="str">
        <f aca="false">Cap_17!E74</f>
        <v>OK</v>
      </c>
    </row>
    <row r="796" customFormat="false" ht="15" hidden="false" customHeight="true" outlineLevel="0" collapsed="false">
      <c r="A796" s="71" t="s">
        <v>66</v>
      </c>
      <c r="B796" s="71" t="s">
        <v>1523</v>
      </c>
      <c r="C796" s="75" t="n">
        <f aca="false">Cap_17!B75</f>
        <v>142.5</v>
      </c>
      <c r="D796" s="75" t="n">
        <f aca="false">Cap_17!D75</f>
        <v>142.5</v>
      </c>
      <c r="E796" s="73" t="str">
        <f aca="false">Cap_17!E75</f>
        <v>OK</v>
      </c>
    </row>
    <row r="797" customFormat="false" ht="15" hidden="false" customHeight="true" outlineLevel="0" collapsed="false">
      <c r="A797" s="71" t="s">
        <v>66</v>
      </c>
      <c r="B797" s="71" t="s">
        <v>1524</v>
      </c>
      <c r="C797" s="75" t="n">
        <f aca="false">Cap_17!B76</f>
        <v>159</v>
      </c>
      <c r="D797" s="75" t="n">
        <f aca="false">Cap_17!D76</f>
        <v>159</v>
      </c>
      <c r="E797" s="73" t="str">
        <f aca="false">Cap_17!E76</f>
        <v>OK</v>
      </c>
    </row>
    <row r="798" customFormat="false" ht="15" hidden="false" customHeight="true" outlineLevel="0" collapsed="false">
      <c r="A798" s="71" t="s">
        <v>66</v>
      </c>
      <c r="B798" s="71" t="s">
        <v>1525</v>
      </c>
      <c r="C798" s="72" t="n">
        <f aca="false">Cap_17!B77</f>
        <v>76</v>
      </c>
      <c r="D798" s="72" t="n">
        <f aca="false">Cap_17!D77</f>
        <v>76</v>
      </c>
      <c r="E798" s="73" t="str">
        <f aca="false">Cap_17!E77</f>
        <v>OK</v>
      </c>
    </row>
    <row r="799" customFormat="false" ht="15" hidden="false" customHeight="true" outlineLevel="0" collapsed="false">
      <c r="A799" s="71" t="s">
        <v>66</v>
      </c>
      <c r="B799" s="71" t="s">
        <v>1526</v>
      </c>
      <c r="C799" s="75" t="n">
        <f aca="false">Cap_17!B78</f>
        <v>84.5</v>
      </c>
      <c r="D799" s="75" t="n">
        <f aca="false">Cap_17!D78</f>
        <v>84.5</v>
      </c>
      <c r="E799" s="73" t="str">
        <f aca="false">Cap_17!E78</f>
        <v>OK</v>
      </c>
    </row>
    <row r="800" customFormat="false" ht="15" hidden="false" customHeight="true" outlineLevel="0" collapsed="false">
      <c r="A800" s="71" t="s">
        <v>66</v>
      </c>
      <c r="B800" s="71" t="s">
        <v>1527</v>
      </c>
      <c r="C800" s="75" t="n">
        <f aca="false">Cap_17!B79</f>
        <v>90</v>
      </c>
      <c r="D800" s="75" t="n">
        <f aca="false">Cap_17!D79</f>
        <v>90</v>
      </c>
      <c r="E800" s="73" t="str">
        <f aca="false">Cap_17!E79</f>
        <v>OK</v>
      </c>
    </row>
    <row r="801" customFormat="false" ht="15" hidden="false" customHeight="true" outlineLevel="0" collapsed="false">
      <c r="A801" s="71" t="s">
        <v>66</v>
      </c>
      <c r="B801" s="71" t="s">
        <v>1528</v>
      </c>
      <c r="C801" s="72" t="n">
        <f aca="false">Cap_17!B80</f>
        <v>238</v>
      </c>
      <c r="D801" s="72" t="n">
        <f aca="false">Cap_17!D80</f>
        <v>238</v>
      </c>
      <c r="E801" s="73" t="str">
        <f aca="false">Cap_17!E80</f>
        <v>OK</v>
      </c>
    </row>
    <row r="802" customFormat="false" ht="15" hidden="false" customHeight="true" outlineLevel="0" collapsed="false">
      <c r="A802" s="71" t="s">
        <v>66</v>
      </c>
      <c r="B802" s="71" t="s">
        <v>1529</v>
      </c>
      <c r="C802" s="75" t="n">
        <f aca="false">Cap_17!B81</f>
        <v>289</v>
      </c>
      <c r="D802" s="75" t="n">
        <f aca="false">Cap_17!D81</f>
        <v>289</v>
      </c>
      <c r="E802" s="73" t="str">
        <f aca="false">Cap_17!E81</f>
        <v>OK</v>
      </c>
    </row>
    <row r="803" customFormat="false" ht="15" hidden="false" customHeight="true" outlineLevel="0" collapsed="false">
      <c r="A803" s="71" t="s">
        <v>66</v>
      </c>
      <c r="B803" s="71" t="s">
        <v>1530</v>
      </c>
      <c r="C803" s="75" t="n">
        <f aca="false">Cap_17!B82</f>
        <v>322</v>
      </c>
      <c r="D803" s="75" t="n">
        <f aca="false">Cap_17!D82</f>
        <v>322</v>
      </c>
      <c r="E803" s="73" t="str">
        <f aca="false">Cap_17!E82</f>
        <v>OK</v>
      </c>
    </row>
    <row r="804" customFormat="false" ht="15" hidden="false" customHeight="true" outlineLevel="0" collapsed="false">
      <c r="A804" s="71" t="s">
        <v>66</v>
      </c>
      <c r="B804" s="71" t="s">
        <v>1531</v>
      </c>
      <c r="C804" s="76" t="n">
        <f aca="false">Cap_17!B83</f>
        <v>0.114186851211073</v>
      </c>
      <c r="D804" s="76" t="n">
        <f aca="false">Cap_17!D83</f>
        <v>0.114</v>
      </c>
      <c r="E804" s="73" t="str">
        <f aca="false">Cap_17!E83</f>
        <v>OK</v>
      </c>
    </row>
    <row r="805" customFormat="false" ht="15" hidden="false" customHeight="true" outlineLevel="0" collapsed="false">
      <c r="A805" s="71" t="s">
        <v>66</v>
      </c>
      <c r="B805" s="71" t="s">
        <v>1533</v>
      </c>
      <c r="C805" s="71" t="str">
        <f aca="false">Cap_17!B85</f>
        <v>Sopra il listino</v>
      </c>
      <c r="D805" s="71" t="str">
        <f aca="false">Cap_17!D85</f>
        <v>Sopra il listino</v>
      </c>
      <c r="E805" s="73" t="str">
        <f aca="false">Cap_17!E85</f>
        <v>OK</v>
      </c>
    </row>
    <row r="806" customFormat="false" ht="15" hidden="false" customHeight="true" outlineLevel="0" collapsed="false">
      <c r="A806" s="71" t="s">
        <v>69</v>
      </c>
      <c r="B806" s="71" t="s">
        <v>1543</v>
      </c>
      <c r="C806" s="72" t="n">
        <f aca="false">Cap_18!B13</f>
        <v>20</v>
      </c>
      <c r="D806" s="72" t="n">
        <f aca="false">Cap_18!D13</f>
        <v>20</v>
      </c>
      <c r="E806" s="73" t="str">
        <f aca="false">Cap_18!E13</f>
        <v>OK</v>
      </c>
    </row>
    <row r="807" customFormat="false" ht="15" hidden="false" customHeight="true" outlineLevel="0" collapsed="false">
      <c r="A807" s="71" t="s">
        <v>69</v>
      </c>
      <c r="B807" s="71" t="s">
        <v>1544</v>
      </c>
      <c r="C807" s="72" t="n">
        <f aca="false">Cap_18!B14</f>
        <v>30</v>
      </c>
      <c r="D807" s="72" t="n">
        <f aca="false">Cap_18!D14</f>
        <v>30</v>
      </c>
      <c r="E807" s="73" t="str">
        <f aca="false">Cap_18!E14</f>
        <v>OK</v>
      </c>
    </row>
    <row r="808" customFormat="false" ht="15" hidden="false" customHeight="true" outlineLevel="0" collapsed="false">
      <c r="A808" s="71" t="s">
        <v>69</v>
      </c>
      <c r="B808" s="71" t="s">
        <v>1545</v>
      </c>
      <c r="C808" s="71" t="str">
        <f aca="false">Cap_18!B15</f>
        <v>B</v>
      </c>
      <c r="D808" s="71" t="str">
        <f aca="false">Cap_18!D15</f>
        <v>B</v>
      </c>
      <c r="E808" s="73" t="str">
        <f aca="false">Cap_18!E15</f>
        <v>OK</v>
      </c>
    </row>
    <row r="809" customFormat="false" ht="15" hidden="false" customHeight="true" outlineLevel="0" collapsed="false">
      <c r="A809" s="71" t="s">
        <v>69</v>
      </c>
      <c r="B809" s="71" t="s">
        <v>1550</v>
      </c>
      <c r="C809" s="72" t="n">
        <f aca="false">Cap_18!B22</f>
        <v>6000</v>
      </c>
      <c r="D809" s="72" t="n">
        <f aca="false">Cap_18!D22</f>
        <v>6000</v>
      </c>
      <c r="E809" s="73" t="str">
        <f aca="false">Cap_18!E22</f>
        <v>OK</v>
      </c>
    </row>
    <row r="810" customFormat="false" ht="15" hidden="false" customHeight="true" outlineLevel="0" collapsed="false">
      <c r="A810" s="71" t="s">
        <v>69</v>
      </c>
      <c r="B810" s="71" t="s">
        <v>1551</v>
      </c>
      <c r="C810" s="72" t="n">
        <f aca="false">Cap_18!B23</f>
        <v>180000</v>
      </c>
      <c r="D810" s="72" t="n">
        <f aca="false">Cap_18!D23</f>
        <v>180000</v>
      </c>
      <c r="E810" s="73" t="str">
        <f aca="false">Cap_18!E23</f>
        <v>OK</v>
      </c>
    </row>
    <row r="811" customFormat="false" ht="15" hidden="false" customHeight="true" outlineLevel="0" collapsed="false">
      <c r="A811" s="71" t="s">
        <v>69</v>
      </c>
      <c r="B811" s="71" t="s">
        <v>1552</v>
      </c>
      <c r="C811" s="72" t="n">
        <f aca="false">Cap_18!B24</f>
        <v>3000</v>
      </c>
      <c r="D811" s="72" t="n">
        <f aca="false">Cap_18!D24</f>
        <v>3000</v>
      </c>
      <c r="E811" s="73" t="str">
        <f aca="false">Cap_18!E24</f>
        <v>OK</v>
      </c>
    </row>
    <row r="812" customFormat="false" ht="15" hidden="false" customHeight="true" outlineLevel="0" collapsed="false">
      <c r="A812" s="71" t="s">
        <v>69</v>
      </c>
      <c r="B812" s="71" t="s">
        <v>1553</v>
      </c>
      <c r="C812" s="72" t="n">
        <f aca="false">Cap_18!B25</f>
        <v>1000</v>
      </c>
      <c r="D812" s="72" t="n">
        <f aca="false">Cap_18!D25</f>
        <v>1000</v>
      </c>
      <c r="E812" s="73" t="str">
        <f aca="false">Cap_18!E25</f>
        <v>OK</v>
      </c>
    </row>
    <row r="813" customFormat="false" ht="15" hidden="false" customHeight="true" outlineLevel="0" collapsed="false">
      <c r="A813" s="71" t="s">
        <v>69</v>
      </c>
      <c r="B813" s="71" t="s">
        <v>1554</v>
      </c>
      <c r="C813" s="72" t="n">
        <f aca="false">Cap_18!B26</f>
        <v>60000</v>
      </c>
      <c r="D813" s="72" t="n">
        <f aca="false">Cap_18!D26</f>
        <v>60000</v>
      </c>
      <c r="E813" s="73" t="str">
        <f aca="false">Cap_18!E26</f>
        <v>OK</v>
      </c>
    </row>
    <row r="814" customFormat="false" ht="15" hidden="false" customHeight="true" outlineLevel="0" collapsed="false">
      <c r="A814" s="71" t="s">
        <v>69</v>
      </c>
      <c r="B814" s="71" t="s">
        <v>1053</v>
      </c>
      <c r="C814" s="72" t="n">
        <f aca="false">Cap_18!B27</f>
        <v>5000</v>
      </c>
      <c r="D814" s="72" t="n">
        <f aca="false">Cap_18!D27</f>
        <v>5000</v>
      </c>
      <c r="E814" s="73" t="str">
        <f aca="false">Cap_18!E27</f>
        <v>OK</v>
      </c>
    </row>
    <row r="815" customFormat="false" ht="15" hidden="false" customHeight="true" outlineLevel="0" collapsed="false">
      <c r="A815" s="71" t="s">
        <v>69</v>
      </c>
      <c r="B815" s="71" t="s">
        <v>626</v>
      </c>
      <c r="C815" s="72" t="n">
        <f aca="false">Cap_18!B28</f>
        <v>240000</v>
      </c>
      <c r="D815" s="72" t="n">
        <f aca="false">Cap_18!D28</f>
        <v>240000</v>
      </c>
      <c r="E815" s="73" t="str">
        <f aca="false">Cap_18!E28</f>
        <v>OK</v>
      </c>
    </row>
    <row r="816" customFormat="false" ht="15" hidden="false" customHeight="true" outlineLevel="0" collapsed="false">
      <c r="A816" s="71" t="s">
        <v>69</v>
      </c>
      <c r="B816" s="71" t="s">
        <v>1557</v>
      </c>
      <c r="C816" s="72" t="n">
        <f aca="false">Cap_18!B33</f>
        <v>20</v>
      </c>
      <c r="D816" s="72" t="n">
        <f aca="false">Cap_18!D33</f>
        <v>20</v>
      </c>
      <c r="E816" s="73" t="str">
        <f aca="false">Cap_18!E33</f>
        <v>OK</v>
      </c>
    </row>
    <row r="817" customFormat="false" ht="15" hidden="false" customHeight="true" outlineLevel="0" collapsed="false">
      <c r="A817" s="71" t="s">
        <v>69</v>
      </c>
      <c r="B817" s="71" t="s">
        <v>1560</v>
      </c>
      <c r="C817" s="71" t="str">
        <f aca="false">Cap_18!B36</f>
        <v>Conveniente</v>
      </c>
      <c r="D817" s="71" t="str">
        <f aca="false">Cap_18!D36</f>
        <v>Conveniente</v>
      </c>
      <c r="E817" s="73" t="str">
        <f aca="false">Cap_18!E36</f>
        <v>OK</v>
      </c>
    </row>
    <row r="818" customFormat="false" ht="15" hidden="false" customHeight="true" outlineLevel="0" collapsed="false">
      <c r="A818" s="71" t="s">
        <v>69</v>
      </c>
      <c r="B818" s="71" t="s">
        <v>1562</v>
      </c>
      <c r="C818" s="71" t="str">
        <f aca="false">Cap_18!B37</f>
        <v>Non conveniente</v>
      </c>
      <c r="D818" s="71" t="str">
        <f aca="false">Cap_18!D37</f>
        <v>Non conveniente</v>
      </c>
      <c r="E818" s="73" t="str">
        <f aca="false">Cap_18!E37</f>
        <v>OK</v>
      </c>
    </row>
    <row r="819" customFormat="false" ht="15" hidden="false" customHeight="true" outlineLevel="0" collapsed="false">
      <c r="A819" s="71" t="s">
        <v>69</v>
      </c>
      <c r="B819" s="71" t="s">
        <v>1570</v>
      </c>
      <c r="C819" s="72" t="n">
        <f aca="false">Cap_18!B46</f>
        <v>9000</v>
      </c>
      <c r="D819" s="72" t="n">
        <f aca="false">Cap_18!D46</f>
        <v>9000</v>
      </c>
      <c r="E819" s="73" t="str">
        <f aca="false">Cap_18!E46</f>
        <v>OK</v>
      </c>
    </row>
    <row r="820" customFormat="false" ht="15" hidden="false" customHeight="true" outlineLevel="0" collapsed="false">
      <c r="A820" s="71" t="s">
        <v>69</v>
      </c>
      <c r="B820" s="71" t="s">
        <v>1571</v>
      </c>
      <c r="C820" s="72" t="n">
        <f aca="false">Cap_18!B47</f>
        <v>60</v>
      </c>
      <c r="D820" s="72" t="n">
        <f aca="false">Cap_18!D47</f>
        <v>60</v>
      </c>
      <c r="E820" s="73" t="str">
        <f aca="false">Cap_18!E47</f>
        <v>OK</v>
      </c>
    </row>
    <row r="821" customFormat="false" ht="15" hidden="false" customHeight="true" outlineLevel="0" collapsed="false">
      <c r="A821" s="71" t="s">
        <v>69</v>
      </c>
      <c r="B821" s="71" t="s">
        <v>1572</v>
      </c>
      <c r="C821" s="75" t="n">
        <f aca="false">Cap_18!B48</f>
        <v>22.5</v>
      </c>
      <c r="D821" s="75" t="n">
        <f aca="false">Cap_18!D48</f>
        <v>22.5</v>
      </c>
      <c r="E821" s="73" t="str">
        <f aca="false">Cap_18!E48</f>
        <v>OK</v>
      </c>
    </row>
    <row r="822" customFormat="false" ht="15" hidden="false" customHeight="true" outlineLevel="0" collapsed="false">
      <c r="A822" s="71" t="s">
        <v>69</v>
      </c>
      <c r="B822" s="71" t="s">
        <v>1573</v>
      </c>
      <c r="C822" s="72" t="n">
        <f aca="false">Cap_18!B49</f>
        <v>1000</v>
      </c>
      <c r="D822" s="72" t="n">
        <f aca="false">Cap_18!D49</f>
        <v>1000</v>
      </c>
      <c r="E822" s="73" t="str">
        <f aca="false">Cap_18!E49</f>
        <v>OK</v>
      </c>
    </row>
    <row r="823" customFormat="false" ht="15" hidden="false" customHeight="true" outlineLevel="0" collapsed="false">
      <c r="A823" s="71" t="s">
        <v>69</v>
      </c>
      <c r="B823" s="71" t="s">
        <v>1574</v>
      </c>
      <c r="C823" s="72" t="n">
        <f aca="false">Cap_18!B50</f>
        <v>195000</v>
      </c>
      <c r="D823" s="72" t="n">
        <f aca="false">Cap_18!D50</f>
        <v>195000</v>
      </c>
      <c r="E823" s="73" t="str">
        <f aca="false">Cap_18!E50</f>
        <v>OK</v>
      </c>
    </row>
    <row r="824" customFormat="false" ht="15" hidden="false" customHeight="true" outlineLevel="0" collapsed="false">
      <c r="A824" s="71" t="s">
        <v>69</v>
      </c>
      <c r="B824" s="71" t="s">
        <v>1577</v>
      </c>
      <c r="C824" s="72" t="n">
        <f aca="false">Cap_18!B55</f>
        <v>2500</v>
      </c>
      <c r="D824" s="72" t="n">
        <f aca="false">Cap_18!D55</f>
        <v>2500</v>
      </c>
      <c r="E824" s="73" t="str">
        <f aca="false">Cap_18!E55</f>
        <v>OK</v>
      </c>
    </row>
    <row r="825" customFormat="false" ht="15" hidden="false" customHeight="true" outlineLevel="0" collapsed="false">
      <c r="A825" s="71" t="s">
        <v>69</v>
      </c>
      <c r="B825" s="71" t="s">
        <v>1578</v>
      </c>
      <c r="C825" s="72" t="n">
        <f aca="false">Cap_18!B56</f>
        <v>7500</v>
      </c>
      <c r="D825" s="72" t="n">
        <f aca="false">Cap_18!D56</f>
        <v>7500</v>
      </c>
      <c r="E825" s="73" t="str">
        <f aca="false">Cap_18!E56</f>
        <v>OK</v>
      </c>
    </row>
    <row r="826" customFormat="false" ht="15" hidden="false" customHeight="true" outlineLevel="0" collapsed="false">
      <c r="A826" s="71" t="s">
        <v>69</v>
      </c>
      <c r="B826" s="71" t="s">
        <v>1579</v>
      </c>
      <c r="C826" s="72" t="n">
        <f aca="false">Cap_18!B57</f>
        <v>2500</v>
      </c>
      <c r="D826" s="72" t="n">
        <f aca="false">Cap_18!D57</f>
        <v>2500</v>
      </c>
      <c r="E826" s="73" t="str">
        <f aca="false">Cap_18!E57</f>
        <v>OK</v>
      </c>
    </row>
    <row r="827" customFormat="false" ht="15" hidden="false" customHeight="true" outlineLevel="0" collapsed="false">
      <c r="A827" s="71" t="s">
        <v>69</v>
      </c>
      <c r="B827" s="71" t="s">
        <v>1580</v>
      </c>
      <c r="C827" s="72" t="n">
        <f aca="false">Cap_18!B58</f>
        <v>150000</v>
      </c>
      <c r="D827" s="72" t="n">
        <f aca="false">Cap_18!D58</f>
        <v>150000</v>
      </c>
      <c r="E827" s="73" t="str">
        <f aca="false">Cap_18!E58</f>
        <v>OK</v>
      </c>
    </row>
    <row r="828" customFormat="false" ht="15" hidden="false" customHeight="true" outlineLevel="0" collapsed="false">
      <c r="A828" s="71" t="s">
        <v>69</v>
      </c>
      <c r="B828" s="71" t="s">
        <v>1581</v>
      </c>
      <c r="C828" s="72" t="n">
        <f aca="false">Cap_18!B59</f>
        <v>4500</v>
      </c>
      <c r="D828" s="72" t="n">
        <f aca="false">Cap_18!D59</f>
        <v>4500</v>
      </c>
      <c r="E828" s="73" t="str">
        <f aca="false">Cap_18!E59</f>
        <v>OK</v>
      </c>
    </row>
    <row r="829" customFormat="false" ht="15" hidden="false" customHeight="true" outlineLevel="0" collapsed="false">
      <c r="A829" s="71" t="s">
        <v>69</v>
      </c>
      <c r="B829" s="71" t="s">
        <v>1582</v>
      </c>
      <c r="C829" s="72" t="n">
        <f aca="false">Cap_18!B60</f>
        <v>1500</v>
      </c>
      <c r="D829" s="72" t="n">
        <f aca="false">Cap_18!D60</f>
        <v>1500</v>
      </c>
      <c r="E829" s="73" t="str">
        <f aca="false">Cap_18!E60</f>
        <v>OK</v>
      </c>
    </row>
    <row r="830" customFormat="false" ht="15" hidden="false" customHeight="true" outlineLevel="0" collapsed="false">
      <c r="A830" s="71" t="s">
        <v>69</v>
      </c>
      <c r="B830" s="71" t="s">
        <v>1583</v>
      </c>
      <c r="C830" s="72" t="n">
        <f aca="false">Cap_18!B61</f>
        <v>3000</v>
      </c>
      <c r="D830" s="72" t="n">
        <f aca="false">Cap_18!D61</f>
        <v>3000</v>
      </c>
      <c r="E830" s="73" t="str">
        <f aca="false">Cap_18!E61</f>
        <v>OK</v>
      </c>
    </row>
    <row r="831" customFormat="false" ht="15" hidden="false" customHeight="true" outlineLevel="0" collapsed="false">
      <c r="A831" s="71" t="s">
        <v>69</v>
      </c>
      <c r="B831" s="71" t="s">
        <v>1584</v>
      </c>
      <c r="C831" s="72" t="n">
        <f aca="false">Cap_18!B62</f>
        <v>9000</v>
      </c>
      <c r="D831" s="72" t="n">
        <f aca="false">Cap_18!D62</f>
        <v>9000</v>
      </c>
      <c r="E831" s="73" t="str">
        <f aca="false">Cap_18!E62</f>
        <v>OK</v>
      </c>
    </row>
    <row r="832" customFormat="false" ht="15" hidden="false" customHeight="true" outlineLevel="0" collapsed="false">
      <c r="A832" s="71" t="s">
        <v>69</v>
      </c>
      <c r="B832" s="71" t="s">
        <v>1585</v>
      </c>
      <c r="C832" s="72" t="n">
        <f aca="false">Cap_18!B63</f>
        <v>7500</v>
      </c>
      <c r="D832" s="72" t="n">
        <f aca="false">Cap_18!D63</f>
        <v>7500</v>
      </c>
      <c r="E832" s="73" t="str">
        <f aca="false">Cap_18!E63</f>
        <v>OK</v>
      </c>
    </row>
    <row r="833" customFormat="false" ht="15" hidden="false" customHeight="true" outlineLevel="0" collapsed="false">
      <c r="A833" s="71" t="s">
        <v>69</v>
      </c>
      <c r="B833" s="71" t="s">
        <v>1586</v>
      </c>
      <c r="C833" s="72" t="n">
        <f aca="false">Cap_18!B64</f>
        <v>225000</v>
      </c>
      <c r="D833" s="72" t="n">
        <f aca="false">Cap_18!D64</f>
        <v>225000</v>
      </c>
      <c r="E833" s="73" t="str">
        <f aca="false">Cap_18!E64</f>
        <v>OK</v>
      </c>
    </row>
    <row r="834" customFormat="false" ht="15" hidden="false" customHeight="true" outlineLevel="0" collapsed="false">
      <c r="A834" s="71" t="s">
        <v>69</v>
      </c>
      <c r="B834" s="71" t="s">
        <v>1587</v>
      </c>
      <c r="C834" s="72" t="n">
        <f aca="false">Cap_18!B65</f>
        <v>3750</v>
      </c>
      <c r="D834" s="72" t="n">
        <f aca="false">Cap_18!D65</f>
        <v>3750</v>
      </c>
      <c r="E834" s="73" t="str">
        <f aca="false">Cap_18!E65</f>
        <v>OK</v>
      </c>
    </row>
    <row r="835" customFormat="false" ht="15" hidden="false" customHeight="true" outlineLevel="0" collapsed="false">
      <c r="A835" s="71" t="s">
        <v>69</v>
      </c>
      <c r="B835" s="71" t="s">
        <v>1588</v>
      </c>
      <c r="C835" s="72" t="n">
        <f aca="false">Cap_18!B66</f>
        <v>5625</v>
      </c>
      <c r="D835" s="72" t="n">
        <f aca="false">Cap_18!D66</f>
        <v>5625</v>
      </c>
      <c r="E835" s="73" t="str">
        <f aca="false">Cap_18!E66</f>
        <v>OK</v>
      </c>
    </row>
    <row r="836" customFormat="false" ht="15" hidden="false" customHeight="true" outlineLevel="0" collapsed="false">
      <c r="A836" s="71" t="s">
        <v>69</v>
      </c>
      <c r="B836" s="71" t="s">
        <v>1589</v>
      </c>
      <c r="C836" s="72" t="n">
        <f aca="false">Cap_18!B67</f>
        <v>168750</v>
      </c>
      <c r="D836" s="72" t="n">
        <f aca="false">Cap_18!D67</f>
        <v>168750</v>
      </c>
      <c r="E836" s="73" t="str">
        <f aca="false">Cap_18!E67</f>
        <v>OK</v>
      </c>
    </row>
    <row r="837" customFormat="false" ht="15" hidden="false" customHeight="true" outlineLevel="0" collapsed="false">
      <c r="A837" s="71" t="s">
        <v>69</v>
      </c>
      <c r="B837" s="71" t="s">
        <v>1590</v>
      </c>
      <c r="C837" s="72" t="n">
        <f aca="false">Cap_18!B68</f>
        <v>225000</v>
      </c>
      <c r="D837" s="72" t="n">
        <f aca="false">Cap_18!D68</f>
        <v>225000</v>
      </c>
      <c r="E837" s="73" t="str">
        <f aca="false">Cap_18!E68</f>
        <v>OK</v>
      </c>
    </row>
    <row r="838" customFormat="false" ht="15" hidden="false" customHeight="true" outlineLevel="0" collapsed="false">
      <c r="A838" s="71" t="s">
        <v>69</v>
      </c>
      <c r="B838" s="71" t="s">
        <v>1593</v>
      </c>
      <c r="C838" s="75" t="n">
        <f aca="false">Cap_18!B73</f>
        <v>16.6666666666667</v>
      </c>
      <c r="D838" s="75" t="n">
        <f aca="false">Cap_18!D73</f>
        <v>16.67</v>
      </c>
      <c r="E838" s="73" t="str">
        <f aca="false">Cap_18!E73</f>
        <v>OK</v>
      </c>
    </row>
    <row r="839" customFormat="false" ht="15" hidden="false" customHeight="true" outlineLevel="0" collapsed="false">
      <c r="A839" s="71" t="s">
        <v>69</v>
      </c>
      <c r="B839" s="71" t="s">
        <v>1594</v>
      </c>
      <c r="C839" s="72" t="n">
        <f aca="false">Cap_18!B74</f>
        <v>10</v>
      </c>
      <c r="D839" s="72" t="n">
        <f aca="false">Cap_18!D74</f>
        <v>10</v>
      </c>
      <c r="E839" s="73" t="str">
        <f aca="false">Cap_18!E74</f>
        <v>OK</v>
      </c>
    </row>
    <row r="840" customFormat="false" ht="15" hidden="false" customHeight="true" outlineLevel="0" collapsed="false">
      <c r="A840" s="71" t="s">
        <v>69</v>
      </c>
      <c r="B840" s="71" t="s">
        <v>1595</v>
      </c>
      <c r="C840" s="72" t="n">
        <f aca="false">Cap_18!B75</f>
        <v>225000</v>
      </c>
      <c r="D840" s="72" t="n">
        <f aca="false">Cap_18!D75</f>
        <v>225000</v>
      </c>
      <c r="E840" s="73" t="str">
        <f aca="false">Cap_18!E75</f>
        <v>OK</v>
      </c>
    </row>
    <row r="841" customFormat="false" ht="15" hidden="false" customHeight="true" outlineLevel="0" collapsed="false">
      <c r="A841" s="71" t="s">
        <v>69</v>
      </c>
      <c r="B841" s="71" t="s">
        <v>1599</v>
      </c>
      <c r="C841" s="72" t="n">
        <f aca="false">Cap_18!B81</f>
        <v>600</v>
      </c>
      <c r="D841" s="72" t="n">
        <f aca="false">Cap_18!D81</f>
        <v>600</v>
      </c>
      <c r="E841" s="73" t="str">
        <f aca="false">Cap_18!E81</f>
        <v>OK</v>
      </c>
    </row>
    <row r="842" customFormat="false" ht="15" hidden="false" customHeight="true" outlineLevel="0" collapsed="false">
      <c r="A842" s="71" t="s">
        <v>69</v>
      </c>
      <c r="B842" s="71" t="s">
        <v>1600</v>
      </c>
      <c r="C842" s="72" t="n">
        <f aca="false">Cap_18!B82</f>
        <v>400</v>
      </c>
      <c r="D842" s="72" t="n">
        <f aca="false">Cap_18!D82</f>
        <v>400</v>
      </c>
      <c r="E842" s="73" t="str">
        <f aca="false">Cap_18!E82</f>
        <v>OK</v>
      </c>
    </row>
    <row r="843" customFormat="false" ht="15" hidden="false" customHeight="true" outlineLevel="0" collapsed="false">
      <c r="A843" s="71" t="s">
        <v>69</v>
      </c>
      <c r="B843" s="71" t="s">
        <v>1601</v>
      </c>
      <c r="C843" s="72" t="n">
        <f aca="false">Cap_18!B83</f>
        <v>12000</v>
      </c>
      <c r="D843" s="72" t="n">
        <f aca="false">Cap_18!D83</f>
        <v>12000</v>
      </c>
      <c r="E843" s="73" t="str">
        <f aca="false">Cap_18!E83</f>
        <v>OK</v>
      </c>
    </row>
    <row r="844" customFormat="false" ht="15" hidden="false" customHeight="true" outlineLevel="0" collapsed="false">
      <c r="A844" s="71" t="s">
        <v>69</v>
      </c>
      <c r="B844" s="71" t="s">
        <v>1602</v>
      </c>
      <c r="C844" s="72" t="n">
        <f aca="false">Cap_18!B84</f>
        <v>18000</v>
      </c>
      <c r="D844" s="72" t="n">
        <f aca="false">Cap_18!D84</f>
        <v>18000</v>
      </c>
      <c r="E844" s="73" t="str">
        <f aca="false">Cap_18!E84</f>
        <v>OK</v>
      </c>
    </row>
    <row r="845" customFormat="false" ht="15" hidden="false" customHeight="true" outlineLevel="0" collapsed="false">
      <c r="A845" s="71" t="s">
        <v>69</v>
      </c>
      <c r="B845" s="71" t="s">
        <v>1603</v>
      </c>
      <c r="C845" s="72" t="n">
        <f aca="false">Cap_18!B85</f>
        <v>6000</v>
      </c>
      <c r="D845" s="72" t="n">
        <f aca="false">Cap_18!D85</f>
        <v>6000</v>
      </c>
      <c r="E845" s="73" t="str">
        <f aca="false">Cap_18!E85</f>
        <v>OK</v>
      </c>
    </row>
    <row r="846" customFormat="false" ht="15" hidden="false" customHeight="true" outlineLevel="0" collapsed="false">
      <c r="A846" s="71" t="s">
        <v>69</v>
      </c>
      <c r="B846" s="71" t="s">
        <v>1604</v>
      </c>
      <c r="C846" s="72" t="n">
        <f aca="false">Cap_18!B86</f>
        <v>6000</v>
      </c>
      <c r="D846" s="72" t="n">
        <f aca="false">Cap_18!D86</f>
        <v>6000</v>
      </c>
      <c r="E846" s="73" t="str">
        <f aca="false">Cap_18!E86</f>
        <v>OK</v>
      </c>
    </row>
    <row r="847" customFormat="false" ht="15" hidden="false" customHeight="true" outlineLevel="0" collapsed="false">
      <c r="A847" s="71" t="s">
        <v>69</v>
      </c>
      <c r="B847" s="71" t="s">
        <v>1607</v>
      </c>
      <c r="C847" s="72" t="n">
        <f aca="false">Cap_18!B91</f>
        <v>1011000</v>
      </c>
      <c r="D847" s="72" t="n">
        <f aca="false">Cap_18!D91</f>
        <v>1011000</v>
      </c>
      <c r="E847" s="73" t="str">
        <f aca="false">Cap_18!E91</f>
        <v>OK</v>
      </c>
    </row>
    <row r="848" customFormat="false" ht="15" hidden="false" customHeight="true" outlineLevel="0" collapsed="false">
      <c r="A848" s="71" t="s">
        <v>69</v>
      </c>
      <c r="B848" s="71" t="s">
        <v>1608</v>
      </c>
      <c r="C848" s="72" t="n">
        <f aca="false">Cap_18!B92</f>
        <v>275000</v>
      </c>
      <c r="D848" s="72" t="n">
        <f aca="false">Cap_18!D92</f>
        <v>275000</v>
      </c>
      <c r="E848" s="73" t="str">
        <f aca="false">Cap_18!E92</f>
        <v>OK</v>
      </c>
    </row>
    <row r="849" customFormat="false" ht="15" hidden="false" customHeight="true" outlineLevel="0" collapsed="false">
      <c r="A849" s="71" t="s">
        <v>69</v>
      </c>
      <c r="B849" s="71" t="s">
        <v>1609</v>
      </c>
      <c r="C849" s="72" t="n">
        <f aca="false">Cap_18!B93</f>
        <v>1062000</v>
      </c>
      <c r="D849" s="72" t="n">
        <f aca="false">Cap_18!D93</f>
        <v>1062000</v>
      </c>
      <c r="E849" s="73" t="str">
        <f aca="false">Cap_18!E93</f>
        <v>OK</v>
      </c>
    </row>
    <row r="850" customFormat="false" ht="15" hidden="false" customHeight="true" outlineLevel="0" collapsed="false">
      <c r="A850" s="71" t="s">
        <v>69</v>
      </c>
      <c r="B850" s="71" t="s">
        <v>1610</v>
      </c>
      <c r="C850" s="72" t="n">
        <f aca="false">Cap_18!B94</f>
        <v>84000</v>
      </c>
      <c r="D850" s="72" t="n">
        <f aca="false">Cap_18!D94</f>
        <v>84000</v>
      </c>
      <c r="E850" s="73" t="str">
        <f aca="false">Cap_18!E94</f>
        <v>OK</v>
      </c>
    </row>
    <row r="851" customFormat="false" ht="15" hidden="false" customHeight="true" outlineLevel="0" collapsed="false">
      <c r="A851" s="71" t="s">
        <v>69</v>
      </c>
      <c r="B851" s="71" t="s">
        <v>1611</v>
      </c>
      <c r="C851" s="72" t="n">
        <f aca="false">Cap_18!B95</f>
        <v>242000</v>
      </c>
      <c r="D851" s="72" t="n">
        <f aca="false">Cap_18!D95</f>
        <v>242000</v>
      </c>
      <c r="E851" s="73" t="str">
        <f aca="false">Cap_18!E95</f>
        <v>OK</v>
      </c>
    </row>
    <row r="852" customFormat="false" ht="15" hidden="false" customHeight="true" outlineLevel="0" collapsed="false">
      <c r="A852" s="71" t="s">
        <v>69</v>
      </c>
      <c r="B852" s="71" t="s">
        <v>1612</v>
      </c>
      <c r="C852" s="72" t="n">
        <f aca="false">Cap_18!B96</f>
        <v>6000</v>
      </c>
      <c r="D852" s="72" t="n">
        <f aca="false">Cap_18!D96</f>
        <v>6000</v>
      </c>
      <c r="E852" s="73" t="str">
        <f aca="false">Cap_18!E96</f>
        <v>OK</v>
      </c>
    </row>
    <row r="853" customFormat="false" ht="15" hidden="false" customHeight="true" outlineLevel="0" collapsed="false">
      <c r="A853" s="71" t="s">
        <v>69</v>
      </c>
      <c r="B853" s="71" t="s">
        <v>1613</v>
      </c>
      <c r="C853" s="72" t="n">
        <f aca="false">Cap_18!B97</f>
        <v>936000</v>
      </c>
      <c r="D853" s="72" t="n">
        <f aca="false">Cap_18!D97</f>
        <v>936000</v>
      </c>
      <c r="E853" s="73" t="str">
        <f aca="false">Cap_18!E97</f>
        <v>OK</v>
      </c>
    </row>
    <row r="854" customFormat="false" ht="15" hidden="false" customHeight="true" outlineLevel="0" collapsed="false">
      <c r="A854" s="71" t="s">
        <v>69</v>
      </c>
      <c r="B854" s="71" t="s">
        <v>1614</v>
      </c>
      <c r="C854" s="72" t="n">
        <f aca="false">Cap_18!B98</f>
        <v>200000</v>
      </c>
      <c r="D854" s="72" t="n">
        <f aca="false">Cap_18!D98</f>
        <v>200000</v>
      </c>
      <c r="E854" s="73" t="str">
        <f aca="false">Cap_18!E98</f>
        <v>OK</v>
      </c>
    </row>
    <row r="855" customFormat="false" ht="15" hidden="false" customHeight="true" outlineLevel="0" collapsed="false">
      <c r="A855" s="71" t="s">
        <v>69</v>
      </c>
      <c r="B855" s="71" t="s">
        <v>1615</v>
      </c>
      <c r="C855" s="72" t="n">
        <f aca="false">Cap_18!B99</f>
        <v>6000</v>
      </c>
      <c r="D855" s="72" t="n">
        <f aca="false">Cap_18!D99</f>
        <v>6000</v>
      </c>
      <c r="E855" s="73" t="str">
        <f aca="false">Cap_18!E99</f>
        <v>OK</v>
      </c>
    </row>
    <row r="856" customFormat="false" ht="15" hidden="false" customHeight="true" outlineLevel="0" collapsed="false">
      <c r="A856" s="71" t="s">
        <v>69</v>
      </c>
      <c r="B856" s="71" t="s">
        <v>1616</v>
      </c>
      <c r="C856" s="72" t="n">
        <f aca="false">Cap_18!B100</f>
        <v>834000</v>
      </c>
      <c r="D856" s="72" t="n">
        <f aca="false">Cap_18!D100</f>
        <v>834000</v>
      </c>
      <c r="E856" s="73" t="str">
        <f aca="false">Cap_18!E100</f>
        <v>OK</v>
      </c>
    </row>
    <row r="857" customFormat="false" ht="15" hidden="false" customHeight="true" outlineLevel="0" collapsed="false">
      <c r="A857" s="71" t="s">
        <v>69</v>
      </c>
      <c r="B857" s="71" t="s">
        <v>1617</v>
      </c>
      <c r="C857" s="72" t="n">
        <f aca="false">Cap_18!B101</f>
        <v>98000</v>
      </c>
      <c r="D857" s="72" t="n">
        <f aca="false">Cap_18!D101</f>
        <v>98000</v>
      </c>
      <c r="E857" s="73" t="str">
        <f aca="false">Cap_18!E101</f>
        <v>OK</v>
      </c>
    </row>
    <row r="858" customFormat="false" ht="15" hidden="false" customHeight="true" outlineLevel="0" collapsed="false">
      <c r="A858" s="71" t="s">
        <v>69</v>
      </c>
      <c r="B858" s="71" t="s">
        <v>1618</v>
      </c>
      <c r="C858" s="72" t="n">
        <f aca="false">Cap_18!B102</f>
        <v>177000</v>
      </c>
      <c r="D858" s="72" t="n">
        <f aca="false">Cap_18!D102</f>
        <v>177000</v>
      </c>
      <c r="E858" s="73" t="str">
        <f aca="false">Cap_18!E102</f>
        <v>OK</v>
      </c>
    </row>
    <row r="859" customFormat="false" ht="15" hidden="false" customHeight="true" outlineLevel="0" collapsed="false">
      <c r="A859" s="71" t="s">
        <v>69</v>
      </c>
      <c r="B859" s="71" t="s">
        <v>1557</v>
      </c>
      <c r="C859" s="72" t="n">
        <f aca="false">Cap_18!B107</f>
        <v>17</v>
      </c>
      <c r="D859" s="72" t="n">
        <f aca="false">Cap_18!D107</f>
        <v>17</v>
      </c>
      <c r="E859" s="73" t="str">
        <f aca="false">Cap_18!E107</f>
        <v>OK</v>
      </c>
    </row>
    <row r="860" customFormat="false" ht="15" hidden="false" customHeight="true" outlineLevel="0" collapsed="false">
      <c r="A860" s="71" t="s">
        <v>69</v>
      </c>
      <c r="B860" s="71" t="s">
        <v>1621</v>
      </c>
      <c r="C860" s="72" t="n">
        <f aca="false">Cap_18!B108</f>
        <v>3000</v>
      </c>
      <c r="D860" s="72" t="n">
        <f aca="false">Cap_18!D108</f>
        <v>3000</v>
      </c>
      <c r="E860" s="73" t="str">
        <f aca="false">Cap_18!E108</f>
        <v>OK</v>
      </c>
    </row>
    <row r="861" customFormat="false" ht="15" hidden="false" customHeight="true" outlineLevel="0" collapsed="false">
      <c r="A861" s="71" t="s">
        <v>69</v>
      </c>
      <c r="B861" s="71" t="s">
        <v>1622</v>
      </c>
      <c r="C861" s="72" t="n">
        <f aca="false">Cap_18!B109</f>
        <v>11</v>
      </c>
      <c r="D861" s="72" t="n">
        <f aca="false">Cap_18!D109</f>
        <v>11</v>
      </c>
      <c r="E861" s="73" t="str">
        <f aca="false">Cap_18!E109</f>
        <v>OK</v>
      </c>
    </row>
    <row r="862" customFormat="false" ht="15" hidden="false" customHeight="true" outlineLevel="0" collapsed="false">
      <c r="A862" s="71" t="s">
        <v>69</v>
      </c>
      <c r="B862" s="71" t="s">
        <v>1623</v>
      </c>
      <c r="C862" s="72" t="n">
        <f aca="false">Cap_18!B110</f>
        <v>33000</v>
      </c>
      <c r="D862" s="72" t="n">
        <f aca="false">Cap_18!D110</f>
        <v>33000</v>
      </c>
      <c r="E862" s="73" t="str">
        <f aca="false">Cap_18!E110</f>
        <v>OK</v>
      </c>
    </row>
    <row r="863" customFormat="false" ht="15" hidden="false" customHeight="true" outlineLevel="0" collapsed="false">
      <c r="A863" s="71" t="s">
        <v>69</v>
      </c>
      <c r="B863" s="71" t="s">
        <v>1624</v>
      </c>
      <c r="C863" s="72" t="n">
        <f aca="false">Cap_18!B111</f>
        <v>2000</v>
      </c>
      <c r="D863" s="72" t="n">
        <f aca="false">Cap_18!D111</f>
        <v>2000</v>
      </c>
      <c r="E863" s="73" t="str">
        <f aca="false">Cap_18!E111</f>
        <v>OK</v>
      </c>
    </row>
    <row r="864" customFormat="false" ht="15" hidden="false" customHeight="true" outlineLevel="0" collapsed="false">
      <c r="A864" s="71" t="s">
        <v>69</v>
      </c>
      <c r="B864" s="71" t="s">
        <v>1625</v>
      </c>
      <c r="C864" s="72" t="n">
        <f aca="false">Cap_18!B112</f>
        <v>75000</v>
      </c>
      <c r="D864" s="72" t="n">
        <f aca="false">Cap_18!D112</f>
        <v>75000</v>
      </c>
      <c r="E864" s="73" t="str">
        <f aca="false">Cap_18!E112</f>
        <v>OK</v>
      </c>
    </row>
    <row r="865" customFormat="false" ht="15" hidden="false" customHeight="true" outlineLevel="0" collapsed="false">
      <c r="A865" s="71" t="s">
        <v>69</v>
      </c>
      <c r="B865" s="71" t="s">
        <v>1626</v>
      </c>
      <c r="C865" s="71" t="str">
        <f aca="false">Cap_18!B113</f>
        <v>Comprare le ore</v>
      </c>
      <c r="D865" s="71" t="str">
        <f aca="false">Cap_18!D113</f>
        <v>Comprare le ore</v>
      </c>
      <c r="E865" s="73" t="str">
        <f aca="false">Cap_18!E113</f>
        <v>OK</v>
      </c>
    </row>
    <row r="866" customFormat="false" ht="15" hidden="false" customHeight="true" outlineLevel="0" collapsed="false">
      <c r="A866" s="71" t="s">
        <v>73</v>
      </c>
      <c r="B866" s="71" t="s">
        <v>1639</v>
      </c>
      <c r="C866" s="72" t="n">
        <f aca="false">Cap_19!B16</f>
        <v>58400</v>
      </c>
      <c r="D866" s="72" t="n">
        <f aca="false">Cap_19!D16</f>
        <v>58400</v>
      </c>
      <c r="E866" s="73" t="str">
        <f aca="false">Cap_19!E16</f>
        <v>OK</v>
      </c>
    </row>
    <row r="867" customFormat="false" ht="15" hidden="false" customHeight="true" outlineLevel="0" collapsed="false">
      <c r="A867" s="71" t="s">
        <v>73</v>
      </c>
      <c r="B867" s="71" t="s">
        <v>1640</v>
      </c>
      <c r="C867" s="72" t="n">
        <f aca="false">Cap_19!B17</f>
        <v>3375269.73419965</v>
      </c>
      <c r="D867" s="72" t="n">
        <f aca="false">Cap_19!D17</f>
        <v>3375300</v>
      </c>
      <c r="E867" s="73" t="str">
        <f aca="false">Cap_19!E17</f>
        <v>OK</v>
      </c>
    </row>
    <row r="868" customFormat="false" ht="15" hidden="false" customHeight="true" outlineLevel="0" collapsed="false">
      <c r="A868" s="71" t="s">
        <v>73</v>
      </c>
      <c r="B868" s="71" t="s">
        <v>1641</v>
      </c>
      <c r="C868" s="72" t="n">
        <f aca="false">Cap_19!B18</f>
        <v>1069159.36567164</v>
      </c>
      <c r="D868" s="72" t="n">
        <f aca="false">Cap_19!D18</f>
        <v>1069200</v>
      </c>
      <c r="E868" s="73" t="str">
        <f aca="false">Cap_19!E18</f>
        <v>OK</v>
      </c>
    </row>
    <row r="869" customFormat="false" ht="15" hidden="false" customHeight="true" outlineLevel="0" collapsed="false">
      <c r="A869" s="71" t="s">
        <v>73</v>
      </c>
      <c r="B869" s="71" t="s">
        <v>1642</v>
      </c>
      <c r="C869" s="72" t="n">
        <f aca="false">Cap_19!B19</f>
        <v>816200</v>
      </c>
      <c r="D869" s="72" t="n">
        <f aca="false">Cap_19!D19</f>
        <v>816200</v>
      </c>
      <c r="E869" s="73" t="str">
        <f aca="false">Cap_19!E19</f>
        <v>OK</v>
      </c>
    </row>
    <row r="870" customFormat="false" ht="15" hidden="false" customHeight="true" outlineLevel="0" collapsed="false">
      <c r="A870" s="71" t="s">
        <v>73</v>
      </c>
      <c r="B870" s="71" t="s">
        <v>1643</v>
      </c>
      <c r="C870" s="72" t="n">
        <f aca="false">Cap_19!B20</f>
        <v>252959.365671642</v>
      </c>
      <c r="D870" s="72" t="n">
        <f aca="false">Cap_19!D20</f>
        <v>253000</v>
      </c>
      <c r="E870" s="73" t="str">
        <f aca="false">Cap_19!E20</f>
        <v>OK</v>
      </c>
    </row>
    <row r="871" customFormat="false" ht="15" hidden="false" customHeight="true" outlineLevel="0" collapsed="false">
      <c r="A871" s="71" t="s">
        <v>73</v>
      </c>
      <c r="B871" s="71" t="s">
        <v>1644</v>
      </c>
      <c r="C871" s="72" t="n">
        <f aca="false">Cap_19!B21</f>
        <v>233600</v>
      </c>
      <c r="D871" s="72" t="n">
        <f aca="false">Cap_19!D21</f>
        <v>233600</v>
      </c>
      <c r="E871" s="73" t="str">
        <f aca="false">Cap_19!E21</f>
        <v>OK</v>
      </c>
    </row>
    <row r="872" customFormat="false" ht="15" hidden="false" customHeight="true" outlineLevel="0" collapsed="false">
      <c r="A872" s="71" t="s">
        <v>73</v>
      </c>
      <c r="B872" s="71" t="s">
        <v>1645</v>
      </c>
      <c r="C872" s="72" t="n">
        <f aca="false">Cap_19!B22</f>
        <v>19359.3656716417</v>
      </c>
      <c r="D872" s="72" t="n">
        <f aca="false">Cap_19!D22</f>
        <v>19400</v>
      </c>
      <c r="E872" s="73" t="str">
        <f aca="false">Cap_19!E22</f>
        <v>OK</v>
      </c>
    </row>
    <row r="873" customFormat="false" ht="15" hidden="false" customHeight="true" outlineLevel="0" collapsed="false">
      <c r="A873" s="71" t="s">
        <v>73</v>
      </c>
      <c r="B873" s="71" t="s">
        <v>1650</v>
      </c>
      <c r="C873" s="72" t="n">
        <f aca="false">Cap_19!B29</f>
        <v>254000</v>
      </c>
      <c r="D873" s="72" t="n">
        <f aca="false">Cap_19!D29</f>
        <v>254000</v>
      </c>
      <c r="E873" s="73" t="str">
        <f aca="false">Cap_19!E29</f>
        <v>OK</v>
      </c>
    </row>
    <row r="874" customFormat="false" ht="15" hidden="false" customHeight="true" outlineLevel="0" collapsed="false">
      <c r="A874" s="71" t="s">
        <v>73</v>
      </c>
      <c r="B874" s="71" t="s">
        <v>1651</v>
      </c>
      <c r="C874" s="72" t="n">
        <f aca="false">Cap_19!B30</f>
        <v>566000</v>
      </c>
      <c r="D874" s="72" t="n">
        <f aca="false">Cap_19!D30</f>
        <v>566000</v>
      </c>
      <c r="E874" s="73" t="str">
        <f aca="false">Cap_19!E30</f>
        <v>OK</v>
      </c>
    </row>
    <row r="875" customFormat="false" ht="15" hidden="false" customHeight="true" outlineLevel="0" collapsed="false">
      <c r="A875" s="71" t="s">
        <v>73</v>
      </c>
      <c r="B875" s="71" t="s">
        <v>1652</v>
      </c>
      <c r="C875" s="72" t="n">
        <f aca="false">Cap_19!B31</f>
        <v>3000</v>
      </c>
      <c r="D875" s="72" t="n">
        <f aca="false">Cap_19!D31</f>
        <v>3000</v>
      </c>
      <c r="E875" s="73" t="str">
        <f aca="false">Cap_19!E31</f>
        <v>OK</v>
      </c>
    </row>
    <row r="876" customFormat="false" ht="15" hidden="false" customHeight="true" outlineLevel="0" collapsed="false">
      <c r="A876" s="71" t="s">
        <v>73</v>
      </c>
      <c r="B876" s="71" t="s">
        <v>1653</v>
      </c>
      <c r="C876" s="72" t="n">
        <f aca="false">Cap_19!B32</f>
        <v>1750</v>
      </c>
      <c r="D876" s="72" t="n">
        <f aca="false">Cap_19!D32</f>
        <v>1750</v>
      </c>
      <c r="E876" s="73" t="str">
        <f aca="false">Cap_19!E32</f>
        <v>OK</v>
      </c>
    </row>
    <row r="877" customFormat="false" ht="15" hidden="false" customHeight="true" outlineLevel="0" collapsed="false">
      <c r="A877" s="71" t="s">
        <v>73</v>
      </c>
      <c r="B877" s="71" t="s">
        <v>1655</v>
      </c>
      <c r="C877" s="76" t="n">
        <f aca="false">Cap_19!B33</f>
        <v>0.313644418192558</v>
      </c>
      <c r="D877" s="76" t="n">
        <f aca="false">Cap_19!D33</f>
        <v>0.314</v>
      </c>
      <c r="E877" s="73" t="str">
        <f aca="false">Cap_19!E33</f>
        <v>OK</v>
      </c>
    </row>
    <row r="878" customFormat="false" ht="15" hidden="false" customHeight="true" outlineLevel="0" collapsed="false">
      <c r="A878" s="71" t="s">
        <v>73</v>
      </c>
      <c r="B878" s="71" t="s">
        <v>1657</v>
      </c>
      <c r="C878" s="76" t="n">
        <f aca="false">Cap_19!B34</f>
        <v>0.686355581807442</v>
      </c>
      <c r="D878" s="76" t="n">
        <f aca="false">Cap_19!D34</f>
        <v>0.686</v>
      </c>
      <c r="E878" s="73" t="str">
        <f aca="false">Cap_19!E34</f>
        <v>OK</v>
      </c>
    </row>
    <row r="879" customFormat="false" ht="15" hidden="false" customHeight="true" outlineLevel="0" collapsed="false">
      <c r="A879" s="71" t="s">
        <v>73</v>
      </c>
      <c r="B879" s="71" t="s">
        <v>1658</v>
      </c>
      <c r="C879" s="76" t="n">
        <f aca="false">Cap_19!B35</f>
        <v>0.242173656231542</v>
      </c>
      <c r="D879" s="76" t="n">
        <f aca="false">Cap_19!D35</f>
        <v>0.242</v>
      </c>
      <c r="E879" s="73" t="str">
        <f aca="false">Cap_19!E35</f>
        <v>OK</v>
      </c>
    </row>
    <row r="880" customFormat="false" ht="15" hidden="false" customHeight="true" outlineLevel="0" collapsed="false">
      <c r="A880" s="71" t="s">
        <v>73</v>
      </c>
      <c r="B880" s="71" t="s">
        <v>1659</v>
      </c>
      <c r="C880" s="76" t="n">
        <f aca="false">Cap_19!B36</f>
        <v>0.0714707619610159</v>
      </c>
      <c r="D880" s="76" t="n">
        <f aca="false">Cap_19!D36</f>
        <v>0.071</v>
      </c>
      <c r="E880" s="73" t="str">
        <f aca="false">Cap_19!E36</f>
        <v>OK</v>
      </c>
    </row>
    <row r="881" customFormat="false" ht="15" hidden="false" customHeight="true" outlineLevel="0" collapsed="false">
      <c r="A881" s="71" t="s">
        <v>73</v>
      </c>
      <c r="B881" s="71" t="s">
        <v>490</v>
      </c>
      <c r="C881" s="72" t="n">
        <f aca="false">Cap_19!B45</f>
        <v>120000</v>
      </c>
      <c r="D881" s="72" t="n">
        <f aca="false">Cap_19!D45</f>
        <v>120000</v>
      </c>
      <c r="E881" s="73" t="str">
        <f aca="false">Cap_19!E45</f>
        <v>OK</v>
      </c>
    </row>
    <row r="882" customFormat="false" ht="15" hidden="false" customHeight="true" outlineLevel="0" collapsed="false">
      <c r="A882" s="71" t="s">
        <v>73</v>
      </c>
      <c r="B882" s="71" t="s">
        <v>1667</v>
      </c>
      <c r="C882" s="75" t="n">
        <f aca="false">Cap_19!B46</f>
        <v>5</v>
      </c>
      <c r="D882" s="75" t="n">
        <f aca="false">Cap_19!D46</f>
        <v>5</v>
      </c>
      <c r="E882" s="73" t="str">
        <f aca="false">Cap_19!E46</f>
        <v>OK</v>
      </c>
    </row>
    <row r="883" customFormat="false" ht="15" hidden="false" customHeight="true" outlineLevel="0" collapsed="false">
      <c r="A883" s="71" t="s">
        <v>73</v>
      </c>
      <c r="B883" s="71" t="s">
        <v>1668</v>
      </c>
      <c r="C883" s="75" t="n">
        <f aca="false">Cap_19!B47</f>
        <v>7.5</v>
      </c>
      <c r="D883" s="75" t="n">
        <f aca="false">Cap_19!D47</f>
        <v>7.5</v>
      </c>
      <c r="E883" s="73" t="str">
        <f aca="false">Cap_19!E47</f>
        <v>OK</v>
      </c>
    </row>
    <row r="884" customFormat="false" ht="15" hidden="false" customHeight="true" outlineLevel="0" collapsed="false">
      <c r="A884" s="71" t="s">
        <v>73</v>
      </c>
      <c r="B884" s="71" t="s">
        <v>1669</v>
      </c>
      <c r="C884" s="72" t="n">
        <f aca="false">Cap_19!B48</f>
        <v>60000</v>
      </c>
      <c r="D884" s="72" t="n">
        <f aca="false">Cap_19!D48</f>
        <v>60000</v>
      </c>
      <c r="E884" s="73" t="str">
        <f aca="false">Cap_19!E48</f>
        <v>OK</v>
      </c>
    </row>
    <row r="885" customFormat="false" ht="15" hidden="false" customHeight="true" outlineLevel="0" collapsed="false">
      <c r="A885" s="71" t="s">
        <v>73</v>
      </c>
      <c r="B885" s="71" t="s">
        <v>1670</v>
      </c>
      <c r="C885" s="75" t="n">
        <f aca="false">Cap_19!B49</f>
        <v>2.5</v>
      </c>
      <c r="D885" s="75" t="n">
        <f aca="false">Cap_19!D49</f>
        <v>2.5</v>
      </c>
      <c r="E885" s="73" t="str">
        <f aca="false">Cap_19!E49</f>
        <v>OK</v>
      </c>
    </row>
    <row r="886" customFormat="false" ht="15" hidden="false" customHeight="true" outlineLevel="0" collapsed="false">
      <c r="A886" s="71" t="s">
        <v>73</v>
      </c>
      <c r="B886" s="71" t="s">
        <v>1671</v>
      </c>
      <c r="C886" s="72" t="n">
        <f aca="false">Cap_19!B50</f>
        <v>30000</v>
      </c>
      <c r="D886" s="72" t="n">
        <f aca="false">Cap_19!D50</f>
        <v>30000</v>
      </c>
      <c r="E886" s="73" t="str">
        <f aca="false">Cap_19!E50</f>
        <v>OK</v>
      </c>
    </row>
    <row r="887" customFormat="false" ht="15" hidden="false" customHeight="true" outlineLevel="0" collapsed="false">
      <c r="A887" s="71" t="s">
        <v>73</v>
      </c>
      <c r="B887" s="71" t="s">
        <v>1672</v>
      </c>
      <c r="C887" s="75" t="n">
        <f aca="false">Cap_19!B51</f>
        <v>15</v>
      </c>
      <c r="D887" s="75" t="n">
        <f aca="false">Cap_19!D51</f>
        <v>15</v>
      </c>
      <c r="E887" s="73" t="str">
        <f aca="false">Cap_19!E51</f>
        <v>OK</v>
      </c>
    </row>
    <row r="888" customFormat="false" ht="15" hidden="false" customHeight="true" outlineLevel="0" collapsed="false">
      <c r="A888" s="71" t="s">
        <v>73</v>
      </c>
      <c r="B888" s="71" t="s">
        <v>1673</v>
      </c>
      <c r="C888" s="72" t="n">
        <f aca="false">Cap_19!B52</f>
        <v>30000</v>
      </c>
      <c r="D888" s="72" t="n">
        <f aca="false">Cap_19!D52</f>
        <v>30000</v>
      </c>
      <c r="E888" s="73" t="str">
        <f aca="false">Cap_19!E52</f>
        <v>OK</v>
      </c>
    </row>
    <row r="889" customFormat="false" ht="15" hidden="false" customHeight="true" outlineLevel="0" collapsed="false">
      <c r="A889" s="71" t="s">
        <v>73</v>
      </c>
      <c r="B889" s="71" t="s">
        <v>905</v>
      </c>
      <c r="C889" s="75" t="n">
        <f aca="false">Cap_19!B63</f>
        <v>20</v>
      </c>
      <c r="D889" s="75" t="n">
        <f aca="false">Cap_19!D63</f>
        <v>20</v>
      </c>
      <c r="E889" s="73" t="str">
        <f aca="false">Cap_19!E63</f>
        <v>OK</v>
      </c>
    </row>
    <row r="890" customFormat="false" ht="15" hidden="false" customHeight="true" outlineLevel="0" collapsed="false">
      <c r="A890" s="71" t="s">
        <v>73</v>
      </c>
      <c r="B890" s="71" t="s">
        <v>906</v>
      </c>
      <c r="C890" s="75" t="n">
        <f aca="false">Cap_19!B64</f>
        <v>30</v>
      </c>
      <c r="D890" s="75" t="n">
        <f aca="false">Cap_19!D64</f>
        <v>30</v>
      </c>
      <c r="E890" s="73" t="str">
        <f aca="false">Cap_19!E64</f>
        <v>OK</v>
      </c>
    </row>
    <row r="891" customFormat="false" ht="15" hidden="false" customHeight="true" outlineLevel="0" collapsed="false">
      <c r="A891" s="71" t="s">
        <v>73</v>
      </c>
      <c r="B891" s="71" t="s">
        <v>908</v>
      </c>
      <c r="C891" s="75" t="n">
        <f aca="false">Cap_19!B65</f>
        <v>20</v>
      </c>
      <c r="D891" s="75" t="n">
        <f aca="false">Cap_19!D65</f>
        <v>20</v>
      </c>
      <c r="E891" s="73" t="str">
        <f aca="false">Cap_19!E65</f>
        <v>OK</v>
      </c>
    </row>
    <row r="892" customFormat="false" ht="15" hidden="false" customHeight="true" outlineLevel="0" collapsed="false">
      <c r="A892" s="71" t="s">
        <v>73</v>
      </c>
      <c r="B892" s="71" t="s">
        <v>1680</v>
      </c>
      <c r="C892" s="72" t="n">
        <f aca="false">Cap_19!B66</f>
        <v>250000</v>
      </c>
      <c r="D892" s="72" t="n">
        <f aca="false">Cap_19!D66</f>
        <v>250000</v>
      </c>
      <c r="E892" s="73" t="str">
        <f aca="false">Cap_19!E66</f>
        <v>OK</v>
      </c>
    </row>
    <row r="893" customFormat="false" ht="15" hidden="false" customHeight="true" outlineLevel="0" collapsed="false">
      <c r="A893" s="71" t="s">
        <v>73</v>
      </c>
      <c r="B893" s="71" t="s">
        <v>1690</v>
      </c>
      <c r="C893" s="72" t="n">
        <f aca="false">Cap_19!B75</f>
        <v>26000</v>
      </c>
      <c r="D893" s="72" t="n">
        <f aca="false">Cap_19!D75</f>
        <v>26000</v>
      </c>
      <c r="E893" s="73" t="str">
        <f aca="false">Cap_19!E75</f>
        <v>OK</v>
      </c>
    </row>
    <row r="894" customFormat="false" ht="15" hidden="false" customHeight="true" outlineLevel="0" collapsed="false">
      <c r="A894" s="71" t="s">
        <v>73</v>
      </c>
      <c r="B894" s="71" t="s">
        <v>1691</v>
      </c>
      <c r="C894" s="72" t="n">
        <f aca="false">Cap_19!B76</f>
        <v>58000</v>
      </c>
      <c r="D894" s="72" t="n">
        <f aca="false">Cap_19!D76</f>
        <v>58000</v>
      </c>
      <c r="E894" s="73" t="str">
        <f aca="false">Cap_19!E76</f>
        <v>OK</v>
      </c>
    </row>
    <row r="895" customFormat="false" ht="15" hidden="false" customHeight="true" outlineLevel="0" collapsed="false">
      <c r="A895" s="71" t="s">
        <v>73</v>
      </c>
      <c r="B895" s="71" t="s">
        <v>1692</v>
      </c>
      <c r="C895" s="76" t="n">
        <f aca="false">Cap_19!B77</f>
        <v>0.241666666666667</v>
      </c>
      <c r="D895" s="76" t="n">
        <f aca="false">Cap_19!D77</f>
        <v>0.242</v>
      </c>
      <c r="E895" s="73" t="str">
        <f aca="false">Cap_19!E77</f>
        <v>OK</v>
      </c>
    </row>
    <row r="896" customFormat="false" ht="15" hidden="false" customHeight="true" outlineLevel="0" collapsed="false">
      <c r="A896" s="71" t="s">
        <v>73</v>
      </c>
      <c r="B896" s="71" t="s">
        <v>1693</v>
      </c>
      <c r="C896" s="72" t="n">
        <f aca="false">Cap_19!B78</f>
        <v>5600</v>
      </c>
      <c r="D896" s="72" t="n">
        <f aca="false">Cap_19!D78</f>
        <v>5600</v>
      </c>
      <c r="E896" s="73" t="str">
        <f aca="false">Cap_19!E78</f>
        <v>OK</v>
      </c>
    </row>
    <row r="897" customFormat="false" ht="15" hidden="false" customHeight="true" outlineLevel="0" collapsed="false">
      <c r="A897" s="71" t="s">
        <v>73</v>
      </c>
      <c r="B897" s="71" t="s">
        <v>1694</v>
      </c>
      <c r="C897" s="72" t="n">
        <f aca="false">Cap_19!B79</f>
        <v>78400</v>
      </c>
      <c r="D897" s="72" t="n">
        <f aca="false">Cap_19!D79</f>
        <v>78400</v>
      </c>
      <c r="E897" s="73" t="str">
        <f aca="false">Cap_19!E79</f>
        <v>OK</v>
      </c>
    </row>
    <row r="898" customFormat="false" ht="15" hidden="false" customHeight="true" outlineLevel="0" collapsed="false">
      <c r="A898" s="71" t="s">
        <v>73</v>
      </c>
      <c r="B898" s="71" t="s">
        <v>1695</v>
      </c>
      <c r="C898" s="76" t="n">
        <f aca="false">Cap_19!B80</f>
        <v>0.326666666666667</v>
      </c>
      <c r="D898" s="76" t="n">
        <f aca="false">Cap_19!D80</f>
        <v>0.327</v>
      </c>
      <c r="E898" s="73" t="str">
        <f aca="false">Cap_19!E80</f>
        <v>OK</v>
      </c>
    </row>
    <row r="899" customFormat="false" ht="15" hidden="false" customHeight="true" outlineLevel="0" collapsed="false">
      <c r="A899" s="71" t="s">
        <v>73</v>
      </c>
      <c r="B899" s="71" t="s">
        <v>1698</v>
      </c>
      <c r="C899" s="72" t="n">
        <f aca="false">Cap_19!B85</f>
        <v>700000</v>
      </c>
      <c r="D899" s="72" t="n">
        <f aca="false">Cap_19!D85</f>
        <v>700000</v>
      </c>
      <c r="E899" s="73" t="str">
        <f aca="false">Cap_19!E85</f>
        <v>OK</v>
      </c>
    </row>
    <row r="900" customFormat="false" ht="15" hidden="false" customHeight="true" outlineLevel="0" collapsed="false">
      <c r="A900" s="71" t="s">
        <v>73</v>
      </c>
      <c r="B900" s="71" t="s">
        <v>1700</v>
      </c>
      <c r="C900" s="72" t="n">
        <f aca="false">Cap_19!B86</f>
        <v>146303.603071471</v>
      </c>
      <c r="D900" s="72" t="n">
        <f aca="false">Cap_19!D86</f>
        <v>146304</v>
      </c>
      <c r="E900" s="73" t="str">
        <f aca="false">Cap_19!E86</f>
        <v>OK</v>
      </c>
    </row>
    <row r="901" customFormat="false" ht="15" hidden="false" customHeight="true" outlineLevel="0" collapsed="false">
      <c r="A901" s="71" t="s">
        <v>73</v>
      </c>
      <c r="B901" s="71" t="s">
        <v>1701</v>
      </c>
      <c r="C901" s="72" t="n">
        <f aca="false">Cap_19!B87</f>
        <v>143188.422917897</v>
      </c>
      <c r="D901" s="72" t="n">
        <f aca="false">Cap_19!D87</f>
        <v>143188</v>
      </c>
      <c r="E901" s="73" t="str">
        <f aca="false">Cap_19!E87</f>
        <v>OK</v>
      </c>
    </row>
    <row r="902" customFormat="false" ht="15" hidden="false" customHeight="true" outlineLevel="0" collapsed="false">
      <c r="A902" s="71" t="s">
        <v>73</v>
      </c>
      <c r="B902" s="71" t="s">
        <v>1702</v>
      </c>
      <c r="C902" s="72" t="n">
        <f aca="false">Cap_19!B88</f>
        <v>-47492.025989368</v>
      </c>
      <c r="D902" s="72" t="n">
        <f aca="false">Cap_19!D88</f>
        <v>-47492</v>
      </c>
      <c r="E902" s="73" t="str">
        <f aca="false">Cap_19!E88</f>
        <v>OK</v>
      </c>
    </row>
    <row r="903" customFormat="false" ht="15" hidden="false" customHeight="true" outlineLevel="0" collapsed="false">
      <c r="A903" s="71" t="s">
        <v>73</v>
      </c>
      <c r="B903" s="71" t="s">
        <v>1703</v>
      </c>
      <c r="C903" s="72" t="n">
        <f aca="false">Cap_19!B89</f>
        <v>242000</v>
      </c>
      <c r="D903" s="72" t="n">
        <f aca="false">Cap_19!D89</f>
        <v>242000</v>
      </c>
      <c r="E903" s="73" t="str">
        <f aca="false">Cap_19!E89</f>
        <v>OK</v>
      </c>
    </row>
    <row r="904" customFormat="false" ht="15" hidden="false" customHeight="true" outlineLevel="0" collapsed="false">
      <c r="A904" s="71" t="s">
        <v>73</v>
      </c>
      <c r="B904" s="71" t="s">
        <v>1704</v>
      </c>
      <c r="C904" s="75" t="n">
        <f aca="false">Cap_19!B90</f>
        <v>-23.746012994684</v>
      </c>
      <c r="D904" s="75" t="n">
        <f aca="false">Cap_19!D90</f>
        <v>-23.75</v>
      </c>
      <c r="E904" s="73" t="str">
        <f aca="false">Cap_19!E90</f>
        <v>OK</v>
      </c>
    </row>
    <row r="905" customFormat="false" ht="15" hidden="false" customHeight="true" outlineLevel="0" collapsed="false">
      <c r="A905" s="71" t="s">
        <v>73</v>
      </c>
      <c r="B905" s="71" t="s">
        <v>1705</v>
      </c>
      <c r="C905" s="72" t="n">
        <f aca="false">Cap_19!B91</f>
        <v>140000</v>
      </c>
      <c r="D905" s="72" t="n">
        <f aca="false">Cap_19!D91</f>
        <v>140000</v>
      </c>
      <c r="E905" s="73" t="str">
        <f aca="false">Cap_19!E91</f>
        <v>OK</v>
      </c>
    </row>
    <row r="906" customFormat="false" ht="15" hidden="false" customHeight="true" outlineLevel="0" collapsed="false">
      <c r="A906" s="71" t="s">
        <v>73</v>
      </c>
      <c r="B906" s="71" t="s">
        <v>1706</v>
      </c>
      <c r="C906" s="72" t="n">
        <f aca="false">Cap_19!B92</f>
        <v>224000</v>
      </c>
      <c r="D906" s="72" t="n">
        <f aca="false">Cap_19!D92</f>
        <v>224000</v>
      </c>
      <c r="E906" s="73" t="str">
        <f aca="false">Cap_19!E92</f>
        <v>OK</v>
      </c>
    </row>
    <row r="907" customFormat="false" ht="15" hidden="false" customHeight="true" outlineLevel="0" collapsed="false">
      <c r="A907" s="71" t="s">
        <v>73</v>
      </c>
      <c r="B907" s="71" t="s">
        <v>1713</v>
      </c>
      <c r="C907" s="72" t="n">
        <f aca="false">Cap_19!B100</f>
        <v>3392100</v>
      </c>
      <c r="D907" s="72" t="n">
        <f aca="false">Cap_19!D100</f>
        <v>3392100</v>
      </c>
      <c r="E907" s="73" t="str">
        <f aca="false">Cap_19!E100</f>
        <v>OK</v>
      </c>
    </row>
    <row r="908" customFormat="false" ht="15" hidden="false" customHeight="true" outlineLevel="0" collapsed="false">
      <c r="A908" s="71" t="s">
        <v>73</v>
      </c>
      <c r="B908" s="71" t="s">
        <v>1019</v>
      </c>
      <c r="C908" s="72" t="n">
        <f aca="false">Cap_19!B101</f>
        <v>1089900</v>
      </c>
      <c r="D908" s="72" t="n">
        <f aca="false">Cap_19!D101</f>
        <v>1089900</v>
      </c>
      <c r="E908" s="73" t="str">
        <f aca="false">Cap_19!E101</f>
        <v>OK</v>
      </c>
    </row>
    <row r="909" customFormat="false" ht="15" hidden="false" customHeight="true" outlineLevel="0" collapsed="false">
      <c r="A909" s="71" t="s">
        <v>73</v>
      </c>
      <c r="B909" s="71" t="s">
        <v>1714</v>
      </c>
      <c r="C909" s="76" t="n">
        <f aca="false">Cap_19!B102</f>
        <v>0.321305386044044</v>
      </c>
      <c r="D909" s="76" t="n">
        <f aca="false">Cap_19!D102</f>
        <v>0.321</v>
      </c>
      <c r="E909" s="73" t="str">
        <f aca="false">Cap_19!E102</f>
        <v>OK</v>
      </c>
    </row>
    <row r="910" customFormat="false" ht="15" hidden="false" customHeight="true" outlineLevel="0" collapsed="false">
      <c r="A910" s="71" t="s">
        <v>73</v>
      </c>
      <c r="B910" s="71" t="s">
        <v>1715</v>
      </c>
      <c r="C910" s="72" t="n">
        <f aca="false">Cap_19!B103</f>
        <v>24000</v>
      </c>
      <c r="D910" s="72" t="n">
        <f aca="false">Cap_19!D103</f>
        <v>24000</v>
      </c>
      <c r="E910" s="73" t="str">
        <f aca="false">Cap_19!E103</f>
        <v>OK</v>
      </c>
    </row>
    <row r="911" customFormat="false" ht="15" hidden="false" customHeight="true" outlineLevel="0" collapsed="false">
      <c r="A911" s="71" t="s">
        <v>73</v>
      </c>
      <c r="B911" s="71" t="s">
        <v>1716</v>
      </c>
      <c r="C911" s="72" t="n">
        <f aca="false">Cap_19!B104</f>
        <v>820000</v>
      </c>
      <c r="D911" s="72" t="n">
        <f aca="false">Cap_19!D104</f>
        <v>820000</v>
      </c>
      <c r="E911" s="73" t="str">
        <f aca="false">Cap_19!E104</f>
        <v>OK</v>
      </c>
    </row>
    <row r="912" customFormat="false" ht="15" hidden="false" customHeight="true" outlineLevel="0" collapsed="false">
      <c r="A912" s="71" t="s">
        <v>73</v>
      </c>
      <c r="B912" s="71" t="s">
        <v>1023</v>
      </c>
      <c r="C912" s="72" t="n">
        <f aca="false">Cap_19!B105</f>
        <v>269900</v>
      </c>
      <c r="D912" s="72" t="n">
        <f aca="false">Cap_19!D105</f>
        <v>269900</v>
      </c>
      <c r="E912" s="73" t="str">
        <f aca="false">Cap_19!E105</f>
        <v>OK</v>
      </c>
    </row>
    <row r="913" customFormat="false" ht="15" hidden="false" customHeight="true" outlineLevel="0" collapsed="false">
      <c r="A913" s="71" t="s">
        <v>73</v>
      </c>
      <c r="B913" s="71" t="s">
        <v>1719</v>
      </c>
      <c r="C913" s="72" t="n">
        <f aca="false">Cap_19!B110</f>
        <v>21500</v>
      </c>
      <c r="D913" s="72" t="n">
        <f aca="false">Cap_19!D110</f>
        <v>21500</v>
      </c>
      <c r="E913" s="73" t="str">
        <f aca="false">Cap_19!E110</f>
        <v>OK</v>
      </c>
    </row>
    <row r="914" customFormat="false" ht="15" hidden="false" customHeight="true" outlineLevel="0" collapsed="false">
      <c r="A914" s="71" t="s">
        <v>73</v>
      </c>
      <c r="B914" s="71" t="s">
        <v>1720</v>
      </c>
      <c r="C914" s="72" t="n">
        <f aca="false">Cap_19!B111</f>
        <v>22000</v>
      </c>
      <c r="D914" s="72" t="n">
        <f aca="false">Cap_19!D111</f>
        <v>22000</v>
      </c>
      <c r="E914" s="73" t="str">
        <f aca="false">Cap_19!E111</f>
        <v>OK</v>
      </c>
    </row>
    <row r="915" customFormat="false" ht="15" hidden="false" customHeight="true" outlineLevel="0" collapsed="false">
      <c r="A915" s="71" t="s">
        <v>73</v>
      </c>
      <c r="B915" s="71" t="s">
        <v>1243</v>
      </c>
      <c r="C915" s="72" t="n">
        <f aca="false">Cap_19!B112</f>
        <v>25346.511627907</v>
      </c>
      <c r="D915" s="72" t="n">
        <f aca="false">Cap_19!D112</f>
        <v>25347</v>
      </c>
      <c r="E915" s="73" t="str">
        <f aca="false">Cap_19!E112</f>
        <v>OK</v>
      </c>
    </row>
    <row r="916" customFormat="false" ht="15" hidden="false" customHeight="true" outlineLevel="0" collapsed="false">
      <c r="A916" s="71" t="s">
        <v>73</v>
      </c>
      <c r="B916" s="71" t="s">
        <v>1247</v>
      </c>
      <c r="C916" s="72" t="n">
        <f aca="false">Cap_19!B113</f>
        <v>-5246.51162790698</v>
      </c>
      <c r="D916" s="72" t="n">
        <f aca="false">Cap_19!D113</f>
        <v>-5247</v>
      </c>
      <c r="E916" s="73" t="str">
        <f aca="false">Cap_19!E113</f>
        <v>OK</v>
      </c>
    </row>
    <row r="917" customFormat="false" ht="15" hidden="false" customHeight="true" outlineLevel="0" collapsed="false">
      <c r="A917" s="71" t="s">
        <v>73</v>
      </c>
      <c r="B917" s="71" t="s">
        <v>1722</v>
      </c>
      <c r="C917" s="72" t="n">
        <f aca="false">Cap_19!B114</f>
        <v>-48000</v>
      </c>
      <c r="D917" s="72" t="n">
        <f aca="false">Cap_19!D114</f>
        <v>-48000</v>
      </c>
      <c r="E917" s="73" t="str">
        <f aca="false">Cap_19!E114</f>
        <v>OK</v>
      </c>
    </row>
    <row r="918" customFormat="false" ht="15" hidden="false" customHeight="true" outlineLevel="0" collapsed="false">
      <c r="A918" s="71" t="s">
        <v>73</v>
      </c>
      <c r="B918" s="71" t="s">
        <v>1723</v>
      </c>
      <c r="C918" s="72" t="n">
        <f aca="false">Cap_19!B115</f>
        <v>-27900</v>
      </c>
      <c r="D918" s="72" t="n">
        <f aca="false">Cap_19!D115</f>
        <v>-27900</v>
      </c>
      <c r="E918" s="73" t="str">
        <f aca="false">Cap_19!E115</f>
        <v>OK</v>
      </c>
    </row>
    <row r="919" customFormat="false" ht="15" hidden="false" customHeight="true" outlineLevel="0" collapsed="false">
      <c r="A919" s="71" t="s">
        <v>73</v>
      </c>
      <c r="B919" s="71" t="s">
        <v>1724</v>
      </c>
      <c r="C919" s="72" t="n">
        <f aca="false">Cap_19!B116</f>
        <v>0</v>
      </c>
      <c r="D919" s="72" t="n">
        <f aca="false">Cap_19!D116</f>
        <v>0</v>
      </c>
      <c r="E919" s="73" t="str">
        <f aca="false">Cap_19!E116</f>
        <v>OK</v>
      </c>
    </row>
    <row r="920" customFormat="false" ht="15" hidden="false" customHeight="true" outlineLevel="0" collapsed="false">
      <c r="A920" s="71" t="s">
        <v>73</v>
      </c>
      <c r="B920" s="71" t="s">
        <v>1725</v>
      </c>
      <c r="C920" s="72" t="n">
        <f aca="false">Cap_19!B117</f>
        <v>42</v>
      </c>
      <c r="D920" s="72" t="n">
        <f aca="false">Cap_19!D117</f>
        <v>42</v>
      </c>
      <c r="E920" s="73" t="str">
        <f aca="false">Cap_19!E117</f>
        <v>OK</v>
      </c>
    </row>
    <row r="921" customFormat="false" ht="15" hidden="false" customHeight="true" outlineLevel="0" collapsed="false">
      <c r="A921" s="71" t="s">
        <v>73</v>
      </c>
      <c r="B921" s="71" t="s">
        <v>1727</v>
      </c>
      <c r="C921" s="72" t="n">
        <f aca="false">Cap_19!B118</f>
        <v>38</v>
      </c>
      <c r="D921" s="72" t="n">
        <f aca="false">Cap_19!D118</f>
        <v>38</v>
      </c>
      <c r="E921" s="73" t="str">
        <f aca="false">Cap_19!E118</f>
        <v>OK</v>
      </c>
    </row>
    <row r="922" customFormat="false" ht="15" hidden="false" customHeight="true" outlineLevel="0" collapsed="false">
      <c r="A922" s="71" t="s">
        <v>73</v>
      </c>
      <c r="B922" s="71" t="s">
        <v>1728</v>
      </c>
      <c r="C922" s="72" t="n">
        <f aca="false">Cap_19!B119</f>
        <v>478800</v>
      </c>
      <c r="D922" s="72" t="n">
        <f aca="false">Cap_19!D119</f>
        <v>478800</v>
      </c>
      <c r="E922" s="73" t="str">
        <f aca="false">Cap_19!E119</f>
        <v>OK</v>
      </c>
    </row>
    <row r="923" customFormat="false" ht="15" hidden="false" customHeight="true" outlineLevel="0" collapsed="false">
      <c r="A923" s="71" t="s">
        <v>73</v>
      </c>
      <c r="B923" s="71" t="s">
        <v>1729</v>
      </c>
      <c r="C923" s="72" t="n">
        <f aca="false">Cap_19!B120</f>
        <v>12600</v>
      </c>
      <c r="D923" s="72" t="n">
        <f aca="false">Cap_19!D120</f>
        <v>12600</v>
      </c>
      <c r="E923" s="73" t="str">
        <f aca="false">Cap_19!E120</f>
        <v>OK</v>
      </c>
    </row>
    <row r="924" customFormat="false" ht="15" hidden="false" customHeight="true" outlineLevel="0" collapsed="false">
      <c r="A924" s="71" t="s">
        <v>73</v>
      </c>
      <c r="B924" s="71" t="s">
        <v>1730</v>
      </c>
      <c r="C924" s="72" t="n">
        <f aca="false">Cap_19!B121</f>
        <v>22800</v>
      </c>
      <c r="D924" s="72" t="n">
        <f aca="false">Cap_19!D121</f>
        <v>22800</v>
      </c>
      <c r="E924" s="73" t="str">
        <f aca="false">Cap_19!E121</f>
        <v>OK</v>
      </c>
    </row>
    <row r="925" customFormat="false" ht="15" hidden="false" customHeight="true" outlineLevel="0" collapsed="false">
      <c r="A925" s="71" t="s">
        <v>73</v>
      </c>
      <c r="B925" s="71" t="s">
        <v>1731</v>
      </c>
      <c r="C925" s="72" t="n">
        <f aca="false">Cap_19!B122</f>
        <v>456000</v>
      </c>
      <c r="D925" s="72" t="n">
        <f aca="false">Cap_19!D122</f>
        <v>456000</v>
      </c>
      <c r="E925" s="73" t="str">
        <f aca="false">Cap_19!E122</f>
        <v>OK</v>
      </c>
    </row>
    <row r="926" customFormat="false" ht="15" hidden="false" customHeight="true" outlineLevel="0" collapsed="false">
      <c r="A926" s="71" t="s">
        <v>73</v>
      </c>
      <c r="B926" s="71" t="s">
        <v>1734</v>
      </c>
      <c r="C926" s="75" t="n">
        <f aca="false">Cap_19!B127</f>
        <v>42</v>
      </c>
      <c r="D926" s="75" t="n">
        <f aca="false">Cap_19!D127</f>
        <v>42</v>
      </c>
      <c r="E926" s="73" t="str">
        <f aca="false">Cap_19!E127</f>
        <v>OK</v>
      </c>
    </row>
    <row r="927" customFormat="false" ht="15" hidden="false" customHeight="true" outlineLevel="0" collapsed="false">
      <c r="A927" s="71" t="s">
        <v>73</v>
      </c>
      <c r="B927" s="71" t="s">
        <v>1736</v>
      </c>
      <c r="C927" s="75" t="n">
        <f aca="false">Cap_19!B128</f>
        <v>76</v>
      </c>
      <c r="D927" s="75" t="n">
        <f aca="false">Cap_19!D128</f>
        <v>76</v>
      </c>
      <c r="E927" s="73" t="str">
        <f aca="false">Cap_19!E128</f>
        <v>OK</v>
      </c>
    </row>
    <row r="928" customFormat="false" ht="15" hidden="false" customHeight="true" outlineLevel="0" collapsed="false">
      <c r="A928" s="71" t="s">
        <v>73</v>
      </c>
      <c r="B928" s="71" t="s">
        <v>1737</v>
      </c>
      <c r="C928" s="75" t="n">
        <f aca="false">Cap_19!B129</f>
        <v>17</v>
      </c>
      <c r="D928" s="75" t="n">
        <f aca="false">Cap_19!D129</f>
        <v>17</v>
      </c>
      <c r="E928" s="73" t="str">
        <f aca="false">Cap_19!E129</f>
        <v>OK</v>
      </c>
    </row>
    <row r="929" customFormat="false" ht="15" hidden="false" customHeight="true" outlineLevel="0" collapsed="false">
      <c r="A929" s="71" t="s">
        <v>73</v>
      </c>
      <c r="B929" s="71" t="s">
        <v>1738</v>
      </c>
      <c r="C929" s="72" t="n">
        <f aca="false">Cap_19!B130</f>
        <v>12000</v>
      </c>
      <c r="D929" s="72" t="n">
        <f aca="false">Cap_19!D130</f>
        <v>12000</v>
      </c>
      <c r="E929" s="73" t="str">
        <f aca="false">Cap_19!E130</f>
        <v>OK</v>
      </c>
    </row>
    <row r="930" customFormat="false" ht="15" hidden="false" customHeight="true" outlineLevel="0" collapsed="false">
      <c r="A930" s="71" t="s">
        <v>73</v>
      </c>
      <c r="B930" s="71" t="s">
        <v>1740</v>
      </c>
      <c r="C930" s="72" t="n">
        <f aca="false">Cap_19!B131</f>
        <v>8000</v>
      </c>
      <c r="D930" s="72" t="n">
        <f aca="false">Cap_19!D131</f>
        <v>8000</v>
      </c>
      <c r="E930" s="73" t="str">
        <f aca="false">Cap_19!E131</f>
        <v>OK</v>
      </c>
    </row>
    <row r="931" customFormat="false" ht="15" hidden="false" customHeight="true" outlineLevel="0" collapsed="false">
      <c r="A931" s="71" t="s">
        <v>73</v>
      </c>
      <c r="B931" s="71" t="s">
        <v>1741</v>
      </c>
      <c r="C931" s="72" t="n">
        <f aca="false">Cap_19!B132</f>
        <v>1000</v>
      </c>
      <c r="D931" s="72" t="n">
        <f aca="false">Cap_19!D132</f>
        <v>1000</v>
      </c>
      <c r="E931" s="73" t="str">
        <f aca="false">Cap_19!E132</f>
        <v>OK</v>
      </c>
    </row>
    <row r="932" customFormat="false" ht="15" hidden="false" customHeight="true" outlineLevel="0" collapsed="false">
      <c r="A932" s="71" t="s">
        <v>73</v>
      </c>
      <c r="B932" s="71" t="s">
        <v>1742</v>
      </c>
      <c r="C932" s="72" t="n">
        <f aca="false">Cap_19!B133</f>
        <v>21000</v>
      </c>
      <c r="D932" s="72" t="n">
        <f aca="false">Cap_19!D133</f>
        <v>21000</v>
      </c>
      <c r="E932" s="73" t="str">
        <f aca="false">Cap_19!E133</f>
        <v>OK</v>
      </c>
    </row>
    <row r="933" customFormat="false" ht="15" hidden="false" customHeight="true" outlineLevel="0" collapsed="false">
      <c r="A933" s="71" t="s">
        <v>73</v>
      </c>
      <c r="B933" s="71" t="s">
        <v>1743</v>
      </c>
      <c r="C933" s="72" t="n">
        <f aca="false">Cap_19!B134</f>
        <v>3097000</v>
      </c>
      <c r="D933" s="72" t="n">
        <f aca="false">Cap_19!D134</f>
        <v>3097000</v>
      </c>
      <c r="E933" s="73" t="str">
        <f aca="false">Cap_19!E134</f>
        <v>OK</v>
      </c>
    </row>
    <row r="934" customFormat="false" ht="15" hidden="false" customHeight="true" outlineLevel="0" collapsed="false">
      <c r="A934" s="71" t="s">
        <v>73</v>
      </c>
      <c r="B934" s="71" t="s">
        <v>1744</v>
      </c>
      <c r="C934" s="72" t="n">
        <f aca="false">Cap_19!B135</f>
        <v>1011000</v>
      </c>
      <c r="D934" s="72" t="n">
        <f aca="false">Cap_19!D135</f>
        <v>1011000</v>
      </c>
      <c r="E934" s="73" t="str">
        <f aca="false">Cap_19!E135</f>
        <v>OK</v>
      </c>
    </row>
    <row r="935" customFormat="false" ht="15" hidden="false" customHeight="true" outlineLevel="0" collapsed="false">
      <c r="A935" s="71" t="s">
        <v>73</v>
      </c>
      <c r="B935" s="71" t="s">
        <v>1745</v>
      </c>
      <c r="C935" s="72" t="n">
        <f aca="false">Cap_19!B136</f>
        <v>51000</v>
      </c>
      <c r="D935" s="72" t="n">
        <f aca="false">Cap_19!D136</f>
        <v>51000</v>
      </c>
      <c r="E935" s="73" t="str">
        <f aca="false">Cap_19!E136</f>
        <v>OK</v>
      </c>
    </row>
    <row r="936" customFormat="false" ht="15" hidden="false" customHeight="true" outlineLevel="0" collapsed="false">
      <c r="A936" s="71" t="s">
        <v>73</v>
      </c>
      <c r="B936" s="71" t="s">
        <v>1746</v>
      </c>
      <c r="C936" s="72" t="n">
        <f aca="false">Cap_19!B137</f>
        <v>275000</v>
      </c>
      <c r="D936" s="72" t="n">
        <f aca="false">Cap_19!D137</f>
        <v>275000</v>
      </c>
      <c r="E936" s="73" t="str">
        <f aca="false">Cap_19!E137</f>
        <v>OK</v>
      </c>
    </row>
    <row r="937" customFormat="false" ht="15" hidden="false" customHeight="true" outlineLevel="0" collapsed="false">
      <c r="A937" s="71" t="s">
        <v>73</v>
      </c>
      <c r="B937" s="71" t="s">
        <v>1747</v>
      </c>
      <c r="C937" s="72" t="n">
        <f aca="false">Cap_19!B138</f>
        <v>33000</v>
      </c>
      <c r="D937" s="72" t="n">
        <f aca="false">Cap_19!D138</f>
        <v>33000</v>
      </c>
      <c r="E937" s="73" t="str">
        <f aca="false">Cap_19!E138</f>
        <v>OK</v>
      </c>
    </row>
    <row r="938" customFormat="false" ht="15" hidden="false" customHeight="true" outlineLevel="0" collapsed="false">
      <c r="A938" s="71" t="s">
        <v>73</v>
      </c>
      <c r="B938" s="71" t="s">
        <v>1748</v>
      </c>
      <c r="C938" s="72" t="n">
        <f aca="false">Cap_19!B139</f>
        <v>33000</v>
      </c>
      <c r="D938" s="72" t="n">
        <f aca="false">Cap_19!D139</f>
        <v>33000</v>
      </c>
      <c r="E938" s="73" t="str">
        <f aca="false">Cap_19!E139</f>
        <v>OK</v>
      </c>
    </row>
    <row r="939" customFormat="false" ht="15" hidden="false" customHeight="true" outlineLevel="0" collapsed="false">
      <c r="A939" s="71" t="s">
        <v>73</v>
      </c>
      <c r="B939" s="71" t="s">
        <v>1749</v>
      </c>
      <c r="C939" s="72" t="n">
        <f aca="false">Cap_19!B140</f>
        <v>834000</v>
      </c>
      <c r="D939" s="72" t="n">
        <f aca="false">Cap_19!D140</f>
        <v>834000</v>
      </c>
      <c r="E939" s="73" t="str">
        <f aca="false">Cap_19!E140</f>
        <v>OK</v>
      </c>
    </row>
    <row r="940" customFormat="false" ht="15" hidden="false" customHeight="true" outlineLevel="0" collapsed="false">
      <c r="A940" s="71" t="s">
        <v>73</v>
      </c>
      <c r="B940" s="71" t="s">
        <v>1750</v>
      </c>
      <c r="C940" s="72" t="n">
        <f aca="false">Cap_19!B141</f>
        <v>177000</v>
      </c>
      <c r="D940" s="72" t="n">
        <f aca="false">Cap_19!D141</f>
        <v>177000</v>
      </c>
      <c r="E940" s="73" t="str">
        <f aca="false">Cap_19!E141</f>
        <v>OK</v>
      </c>
    </row>
    <row r="941" customFormat="false" ht="15" hidden="false" customHeight="true" outlineLevel="0" collapsed="false">
      <c r="A941" s="71" t="s">
        <v>73</v>
      </c>
      <c r="B941" s="71" t="s">
        <v>1755</v>
      </c>
      <c r="C941" s="72" t="n">
        <f aca="false">Cap_19!B147</f>
        <v>2346606.40301318</v>
      </c>
      <c r="D941" s="72" t="n">
        <f aca="false">Cap_19!D147</f>
        <v>2346606</v>
      </c>
      <c r="E941" s="73" t="str">
        <f aca="false">Cap_19!E147</f>
        <v>OK</v>
      </c>
    </row>
    <row r="942" customFormat="false" ht="15" hidden="false" customHeight="true" outlineLevel="0" collapsed="false">
      <c r="A942" s="71" t="s">
        <v>73</v>
      </c>
      <c r="B942" s="71" t="s">
        <v>1756</v>
      </c>
      <c r="C942" s="76" t="n">
        <f aca="false">Cap_19!B148</f>
        <v>0.306967984934087</v>
      </c>
      <c r="D942" s="76" t="n">
        <f aca="false">Cap_19!D148</f>
        <v>0.307</v>
      </c>
      <c r="E942" s="73" t="str">
        <f aca="false">Cap_19!E148</f>
        <v>OK</v>
      </c>
    </row>
    <row r="943" customFormat="false" ht="15" hidden="false" customHeight="true" outlineLevel="0" collapsed="false">
      <c r="A943" s="71" t="s">
        <v>73</v>
      </c>
      <c r="B943" s="71" t="s">
        <v>1757</v>
      </c>
      <c r="C943" s="72" t="n">
        <f aca="false">Cap_19!B149</f>
        <v>2962750</v>
      </c>
      <c r="D943" s="72" t="n">
        <f aca="false">Cap_19!D149</f>
        <v>2962750</v>
      </c>
      <c r="E943" s="73" t="str">
        <f aca="false">Cap_19!E149</f>
        <v>OK</v>
      </c>
    </row>
    <row r="944" customFormat="false" ht="15" hidden="false" customHeight="true" outlineLevel="0" collapsed="false">
      <c r="A944" s="71" t="s">
        <v>73</v>
      </c>
      <c r="B944" s="71" t="s">
        <v>1758</v>
      </c>
      <c r="C944" s="75" t="n">
        <f aca="false">Cap_19!B150</f>
        <v>1.61157024793388</v>
      </c>
      <c r="D944" s="75" t="n">
        <f aca="false">Cap_19!D150</f>
        <v>1.61</v>
      </c>
      <c r="E944" s="73" t="str">
        <f aca="false">Cap_19!E150</f>
        <v>OK</v>
      </c>
    </row>
    <row r="945" customFormat="false" ht="15" hidden="false" customHeight="true" outlineLevel="0" collapsed="false">
      <c r="A945" s="71" t="s">
        <v>73</v>
      </c>
      <c r="B945" s="71" t="s">
        <v>1759</v>
      </c>
      <c r="C945" s="72" t="n">
        <f aca="false">Cap_19!B151</f>
        <v>2254591.49357072</v>
      </c>
      <c r="D945" s="72" t="n">
        <f aca="false">Cap_19!D151</f>
        <v>2254591</v>
      </c>
      <c r="E945" s="73" t="str">
        <f aca="false">Cap_19!E151</f>
        <v>OK</v>
      </c>
    </row>
    <row r="946" customFormat="false" ht="15" hidden="false" customHeight="true" outlineLevel="0" collapsed="false">
      <c r="A946" s="71" t="s">
        <v>73</v>
      </c>
      <c r="B946" s="71" t="s">
        <v>1760</v>
      </c>
      <c r="C946" s="76" t="n">
        <f aca="false">Cap_19!B152</f>
        <v>0.272007912957468</v>
      </c>
      <c r="D946" s="76" t="n">
        <f aca="false">Cap_19!D152</f>
        <v>0.272</v>
      </c>
      <c r="E946" s="73" t="str">
        <f aca="false">Cap_19!E152</f>
        <v>OK</v>
      </c>
    </row>
    <row r="947" customFormat="false" ht="15" hidden="false" customHeight="true" outlineLevel="0" collapsed="false">
      <c r="A947" s="71" t="s">
        <v>73</v>
      </c>
      <c r="B947" s="71" t="s">
        <v>1761</v>
      </c>
      <c r="C947" s="75" t="n">
        <f aca="false">Cap_19!B153</f>
        <v>3.67636363636364</v>
      </c>
      <c r="D947" s="75" t="n">
        <f aca="false">Cap_19!D153</f>
        <v>3.68</v>
      </c>
      <c r="E947" s="73" t="str">
        <f aca="false">Cap_19!E153</f>
        <v>OK</v>
      </c>
    </row>
    <row r="948" customFormat="false" ht="15" hidden="false" customHeight="true" outlineLevel="0" collapsed="false">
      <c r="A948" s="71" t="s">
        <v>73</v>
      </c>
      <c r="B948" s="71" t="s">
        <v>1762</v>
      </c>
      <c r="C948" s="75" t="n">
        <f aca="false">Cap_19!B154</f>
        <v>1.53818181818182</v>
      </c>
      <c r="D948" s="75" t="n">
        <f aca="false">Cap_19!D154</f>
        <v>1.54</v>
      </c>
      <c r="E948" s="73" t="str">
        <f aca="false">Cap_19!E154</f>
        <v>OK</v>
      </c>
    </row>
    <row r="949" customFormat="false" ht="15" hidden="false" customHeight="true" outlineLevel="0" collapsed="false">
      <c r="A949" s="71" t="s">
        <v>73</v>
      </c>
      <c r="B949" s="71" t="s">
        <v>1763</v>
      </c>
      <c r="C949" s="72" t="n">
        <f aca="false">Cap_19!B155</f>
        <v>4323661.53846154</v>
      </c>
      <c r="D949" s="72" t="n">
        <f aca="false">Cap_19!D155</f>
        <v>4323662</v>
      </c>
      <c r="E949" s="73" t="str">
        <f aca="false">Cap_19!E155</f>
        <v>OK</v>
      </c>
    </row>
    <row r="950" customFormat="false" ht="15" hidden="false" customHeight="true" outlineLevel="0" collapsed="false">
      <c r="A950" s="71" t="s">
        <v>73</v>
      </c>
      <c r="B950" s="71" t="s">
        <v>1764</v>
      </c>
      <c r="C950" s="72" t="n">
        <f aca="false">Cap_19!B156</f>
        <v>270092.307692308</v>
      </c>
      <c r="D950" s="72" t="n">
        <f aca="false">Cap_19!D156</f>
        <v>270092</v>
      </c>
      <c r="E950" s="73" t="str">
        <f aca="false">Cap_19!E156</f>
        <v>OK</v>
      </c>
    </row>
    <row r="951" customFormat="false" ht="15" hidden="false" customHeight="true" outlineLevel="0" collapsed="false">
      <c r="A951" s="71" t="s">
        <v>73</v>
      </c>
      <c r="B951" s="71" t="s">
        <v>1765</v>
      </c>
      <c r="C951" s="72" t="n">
        <f aca="false">Cap_19!B157</f>
        <v>1356092.30769231</v>
      </c>
      <c r="D951" s="72" t="n">
        <f aca="false">Cap_19!D157</f>
        <v>1356092</v>
      </c>
      <c r="E951" s="73" t="str">
        <f aca="false">Cap_19!E157</f>
        <v>OK</v>
      </c>
    </row>
    <row r="952" customFormat="false" ht="15" hidden="false" customHeight="true" outlineLevel="0" collapsed="false">
      <c r="A952" s="71" t="s">
        <v>73</v>
      </c>
      <c r="B952" s="71" t="s">
        <v>1766</v>
      </c>
      <c r="C952" s="72" t="n">
        <f aca="false">Cap_19!B158</f>
        <v>350000</v>
      </c>
      <c r="D952" s="72" t="n">
        <f aca="false">Cap_19!D158</f>
        <v>350000</v>
      </c>
      <c r="E952" s="73" t="str">
        <f aca="false">Cap_19!E158</f>
        <v>OK</v>
      </c>
    </row>
    <row r="953" customFormat="false" ht="15" hidden="false" customHeight="true" outlineLevel="0" collapsed="false">
      <c r="A953" s="71" t="s">
        <v>73</v>
      </c>
      <c r="B953" s="71" t="s">
        <v>1769</v>
      </c>
      <c r="C953" s="75" t="n">
        <f aca="false">Cap_19!B163</f>
        <v>44.25</v>
      </c>
      <c r="D953" s="75" t="n">
        <f aca="false">Cap_19!D163</f>
        <v>44.25</v>
      </c>
      <c r="E953" s="73" t="str">
        <f aca="false">Cap_19!E163</f>
        <v>OK</v>
      </c>
    </row>
    <row r="954" customFormat="false" ht="15" hidden="false" customHeight="true" outlineLevel="0" collapsed="false">
      <c r="A954" s="71" t="s">
        <v>73</v>
      </c>
      <c r="B954" s="71" t="s">
        <v>1771</v>
      </c>
      <c r="C954" s="76" t="n">
        <f aca="false">Cap_19!B164</f>
        <v>1.14285714285714</v>
      </c>
      <c r="D954" s="76" t="n">
        <f aca="false">Cap_19!D164</f>
        <v>1.143</v>
      </c>
      <c r="E954" s="73" t="str">
        <f aca="false">Cap_19!E164</f>
        <v>OK</v>
      </c>
    </row>
    <row r="955" customFormat="false" ht="15" hidden="false" customHeight="true" outlineLevel="0" collapsed="false">
      <c r="A955" s="71" t="s">
        <v>73</v>
      </c>
      <c r="B955" s="71" t="s">
        <v>1772</v>
      </c>
      <c r="C955" s="75" t="n">
        <f aca="false">Cap_19!B165</f>
        <v>45</v>
      </c>
      <c r="D955" s="75" t="n">
        <f aca="false">Cap_19!D165</f>
        <v>45</v>
      </c>
      <c r="E955" s="73" t="str">
        <f aca="false">Cap_19!E165</f>
        <v>OK</v>
      </c>
    </row>
    <row r="956" customFormat="false" ht="15" hidden="false" customHeight="true" outlineLevel="0" collapsed="false">
      <c r="A956" s="71" t="s">
        <v>73</v>
      </c>
      <c r="B956" s="71" t="s">
        <v>1773</v>
      </c>
      <c r="C956" s="72" t="n">
        <f aca="false">Cap_19!B166</f>
        <v>18000</v>
      </c>
      <c r="D956" s="72" t="n">
        <f aca="false">Cap_19!D166</f>
        <v>18000</v>
      </c>
      <c r="E956" s="73" t="str">
        <f aca="false">Cap_19!E166</f>
        <v>OK</v>
      </c>
    </row>
    <row r="957" customFormat="false" ht="15" hidden="false" customHeight="true" outlineLevel="0" collapsed="false">
      <c r="A957" s="71" t="s">
        <v>73</v>
      </c>
      <c r="B957" s="71" t="s">
        <v>1774</v>
      </c>
      <c r="C957" s="76" t="n">
        <f aca="false">Cap_19!B167</f>
        <v>-0.103371619118192</v>
      </c>
      <c r="D957" s="76" t="n">
        <f aca="false">Cap_19!D167</f>
        <v>-0.103</v>
      </c>
      <c r="E957" s="73" t="str">
        <f aca="false">Cap_19!E167</f>
        <v>OK</v>
      </c>
    </row>
    <row r="958" customFormat="false" ht="15" hidden="false" customHeight="true" outlineLevel="0" collapsed="false">
      <c r="A958" s="71" t="s">
        <v>73</v>
      </c>
      <c r="B958" s="71" t="s">
        <v>1785</v>
      </c>
      <c r="C958" s="72" t="n">
        <f aca="false">Cap_19!B180</f>
        <v>282530</v>
      </c>
      <c r="D958" s="72" t="n">
        <f aca="false">Cap_19!D180</f>
        <v>282530</v>
      </c>
      <c r="E958" s="73" t="str">
        <f aca="false">Cap_19!E180</f>
        <v>OK</v>
      </c>
    </row>
    <row r="959" customFormat="false" ht="15" hidden="false" customHeight="true" outlineLevel="0" collapsed="false">
      <c r="A959" s="71" t="s">
        <v>73</v>
      </c>
      <c r="B959" s="71" t="s">
        <v>1786</v>
      </c>
      <c r="C959" s="72" t="n">
        <f aca="false">Cap_19!B181</f>
        <v>88270</v>
      </c>
      <c r="D959" s="72" t="n">
        <f aca="false">Cap_19!D181</f>
        <v>88270</v>
      </c>
      <c r="E959" s="73" t="str">
        <f aca="false">Cap_19!E181</f>
        <v>OK</v>
      </c>
    </row>
    <row r="960" customFormat="false" ht="15" hidden="false" customHeight="true" outlineLevel="0" collapsed="false">
      <c r="A960" s="71" t="s">
        <v>73</v>
      </c>
      <c r="B960" s="71" t="s">
        <v>1787</v>
      </c>
      <c r="C960" s="72" t="n">
        <f aca="false">Cap_19!B182</f>
        <v>90000</v>
      </c>
      <c r="D960" s="72" t="n">
        <f aca="false">Cap_19!D182</f>
        <v>90000</v>
      </c>
      <c r="E960" s="73" t="str">
        <f aca="false">Cap_19!E182</f>
        <v>OK</v>
      </c>
    </row>
    <row r="961" customFormat="false" ht="15" hidden="false" customHeight="true" outlineLevel="0" collapsed="false">
      <c r="A961" s="71" t="s">
        <v>73</v>
      </c>
      <c r="B961" s="71" t="s">
        <v>1788</v>
      </c>
      <c r="C961" s="72" t="n">
        <f aca="false">Cap_19!B183</f>
        <v>19870</v>
      </c>
      <c r="D961" s="72" t="n">
        <f aca="false">Cap_19!D183</f>
        <v>19870</v>
      </c>
      <c r="E961" s="73" t="str">
        <f aca="false">Cap_19!E183</f>
        <v>OK</v>
      </c>
    </row>
    <row r="962" customFormat="false" ht="15" hidden="false" customHeight="true" outlineLevel="0" collapsed="false">
      <c r="A962" s="71" t="s">
        <v>73</v>
      </c>
      <c r="B962" s="71" t="s">
        <v>1789</v>
      </c>
      <c r="C962" s="72" t="n">
        <f aca="false">Cap_19!B184</f>
        <v>-930</v>
      </c>
      <c r="D962" s="72" t="n">
        <f aca="false">Cap_19!D184</f>
        <v>-930</v>
      </c>
      <c r="E962" s="73" t="str">
        <f aca="false">Cap_19!E184</f>
        <v>OK</v>
      </c>
    </row>
    <row r="963" customFormat="false" ht="15" hidden="false" customHeight="true" outlineLevel="0" collapsed="false">
      <c r="A963" s="71" t="s">
        <v>73</v>
      </c>
      <c r="B963" s="71" t="s">
        <v>1790</v>
      </c>
      <c r="C963" s="72" t="n">
        <f aca="false">Cap_19!B185</f>
        <v>3500</v>
      </c>
      <c r="D963" s="72" t="n">
        <f aca="false">Cap_19!D185</f>
        <v>3500</v>
      </c>
      <c r="E963" s="73" t="str">
        <f aca="false">Cap_19!E185</f>
        <v>OK</v>
      </c>
    </row>
    <row r="964" customFormat="false" ht="15" hidden="false" customHeight="true" outlineLevel="0" collapsed="false">
      <c r="A964" s="71" t="s">
        <v>73</v>
      </c>
      <c r="B964" s="71" t="s">
        <v>1791</v>
      </c>
      <c r="C964" s="72" t="n">
        <f aca="false">Cap_19!B186</f>
        <v>-830.000000000003</v>
      </c>
      <c r="D964" s="72" t="n">
        <f aca="false">Cap_19!D186</f>
        <v>-830</v>
      </c>
      <c r="E964" s="73" t="str">
        <f aca="false">Cap_19!E186</f>
        <v>OK</v>
      </c>
    </row>
    <row r="965" customFormat="false" ht="15" hidden="false" customHeight="true" outlineLevel="0" collapsed="false">
      <c r="A965" s="71" t="s">
        <v>73</v>
      </c>
      <c r="B965" s="71" t="s">
        <v>1792</v>
      </c>
      <c r="C965" s="76" t="n">
        <f aca="false">Cap_19!B187</f>
        <v>0.00663265306122449</v>
      </c>
      <c r="D965" s="76" t="n">
        <f aca="false">Cap_19!D187</f>
        <v>0.007</v>
      </c>
      <c r="E965" s="73" t="str">
        <f aca="false">Cap_19!E187</f>
        <v>OK</v>
      </c>
    </row>
    <row r="966" customFormat="false" ht="15" hidden="false" customHeight="true" outlineLevel="0" collapsed="false">
      <c r="A966" s="71" t="s">
        <v>73</v>
      </c>
      <c r="B966" s="71" t="s">
        <v>1800</v>
      </c>
      <c r="C966" s="72" t="n">
        <f aca="false">Cap_19!B197</f>
        <v>333000</v>
      </c>
      <c r="D966" s="72" t="n">
        <f aca="false">Cap_19!D197</f>
        <v>333000</v>
      </c>
      <c r="E966" s="73" t="str">
        <f aca="false">Cap_19!E197</f>
        <v>OK</v>
      </c>
    </row>
    <row r="967" customFormat="false" ht="15" hidden="false" customHeight="true" outlineLevel="0" collapsed="false">
      <c r="A967" s="71" t="s">
        <v>73</v>
      </c>
      <c r="B967" s="71" t="s">
        <v>1801</v>
      </c>
      <c r="C967" s="72" t="n">
        <f aca="false">Cap_19!B198</f>
        <v>126000</v>
      </c>
      <c r="D967" s="72" t="n">
        <f aca="false">Cap_19!D198</f>
        <v>126000</v>
      </c>
      <c r="E967" s="73" t="str">
        <f aca="false">Cap_19!E198</f>
        <v>OK</v>
      </c>
    </row>
    <row r="968" customFormat="false" ht="15" hidden="false" customHeight="true" outlineLevel="0" collapsed="false">
      <c r="A968" s="71" t="s">
        <v>73</v>
      </c>
      <c r="B968" s="71" t="s">
        <v>1802</v>
      </c>
      <c r="C968" s="76" t="n">
        <f aca="false">Cap_19!B199</f>
        <v>0.10327868852459</v>
      </c>
      <c r="D968" s="76" t="n">
        <f aca="false">Cap_19!D199</f>
        <v>0.103</v>
      </c>
      <c r="E968" s="73" t="str">
        <f aca="false">Cap_19!E199</f>
        <v>OK</v>
      </c>
    </row>
    <row r="969" customFormat="false" ht="15" hidden="false" customHeight="true" outlineLevel="0" collapsed="false">
      <c r="A969" s="71" t="s">
        <v>73</v>
      </c>
      <c r="B969" s="71" t="s">
        <v>1803</v>
      </c>
      <c r="C969" s="72" t="n">
        <f aca="false">Cap_19!B200</f>
        <v>366000</v>
      </c>
      <c r="D969" s="72" t="n">
        <f aca="false">Cap_19!D200</f>
        <v>366000</v>
      </c>
      <c r="E969" s="73" t="str">
        <f aca="false">Cap_19!E200</f>
        <v>OK</v>
      </c>
    </row>
    <row r="970" customFormat="false" ht="15" hidden="false" customHeight="true" outlineLevel="0" collapsed="false">
      <c r="A970" s="71" t="s">
        <v>73</v>
      </c>
      <c r="B970" s="71" t="s">
        <v>1804</v>
      </c>
      <c r="C970" s="72" t="n">
        <f aca="false">Cap_19!B201</f>
        <v>242000</v>
      </c>
      <c r="D970" s="72" t="n">
        <f aca="false">Cap_19!D201</f>
        <v>242000</v>
      </c>
      <c r="E970" s="73" t="str">
        <f aca="false">Cap_19!E201</f>
        <v>OK</v>
      </c>
    </row>
    <row r="971" customFormat="false" ht="15" hidden="false" customHeight="true" outlineLevel="0" collapsed="false">
      <c r="A971" s="71" t="s">
        <v>73</v>
      </c>
      <c r="B971" s="71" t="s">
        <v>1805</v>
      </c>
      <c r="C971" s="72" t="n">
        <f aca="false">Cap_19!B202</f>
        <v>203.333333333333</v>
      </c>
      <c r="D971" s="72" t="n">
        <f aca="false">Cap_19!D202</f>
        <v>203</v>
      </c>
      <c r="E971" s="73" t="str">
        <f aca="false">Cap_19!E202</f>
        <v>OK</v>
      </c>
    </row>
    <row r="972" customFormat="false" ht="15" hidden="false" customHeight="true" outlineLevel="0" collapsed="false">
      <c r="A972" s="71" t="s">
        <v>76</v>
      </c>
      <c r="B972" s="71" t="s">
        <v>1812</v>
      </c>
      <c r="C972" s="79" t="n">
        <f aca="false">Cap_20!B11</f>
        <v>0.15</v>
      </c>
      <c r="D972" s="79" t="n">
        <f aca="false">Cap_20!D11</f>
        <v>0.15</v>
      </c>
      <c r="E972" s="73" t="str">
        <f aca="false">Cap_20!E11</f>
        <v>OK</v>
      </c>
    </row>
    <row r="973" customFormat="false" ht="15" hidden="false" customHeight="true" outlineLevel="0" collapsed="false">
      <c r="A973" s="71" t="s">
        <v>76</v>
      </c>
      <c r="B973" s="71" t="s">
        <v>1814</v>
      </c>
      <c r="C973" s="79" t="n">
        <f aca="false">Cap_20!B13</f>
        <v>0.1</v>
      </c>
      <c r="D973" s="79" t="n">
        <f aca="false">Cap_20!D13</f>
        <v>0.1</v>
      </c>
      <c r="E973" s="73" t="str">
        <f aca="false">Cap_20!E13</f>
        <v>OK</v>
      </c>
    </row>
    <row r="974" customFormat="false" ht="15" hidden="false" customHeight="true" outlineLevel="0" collapsed="false">
      <c r="A974" s="71" t="s">
        <v>76</v>
      </c>
      <c r="B974" s="71" t="s">
        <v>1817</v>
      </c>
      <c r="C974" s="72" t="n">
        <f aca="false">Cap_20!B16</f>
        <v>600000</v>
      </c>
      <c r="D974" s="72" t="n">
        <f aca="false">Cap_20!D16</f>
        <v>600000</v>
      </c>
      <c r="E974" s="73" t="str">
        <f aca="false">Cap_20!E16</f>
        <v>OK</v>
      </c>
    </row>
    <row r="975" customFormat="false" ht="15" hidden="false" customHeight="true" outlineLevel="0" collapsed="false">
      <c r="A975" s="71" t="s">
        <v>76</v>
      </c>
      <c r="B975" s="71" t="s">
        <v>1818</v>
      </c>
      <c r="C975" s="75" t="n">
        <f aca="false">Cap_20!B17</f>
        <v>2</v>
      </c>
      <c r="D975" s="75" t="n">
        <f aca="false">Cap_20!D17</f>
        <v>2</v>
      </c>
      <c r="E975" s="73" t="str">
        <f aca="false">Cap_20!E17</f>
        <v>OK</v>
      </c>
    </row>
    <row r="976" customFormat="false" ht="15" hidden="false" customHeight="true" outlineLevel="0" collapsed="false">
      <c r="A976" s="71" t="s">
        <v>76</v>
      </c>
      <c r="B976" s="71" t="s">
        <v>1819</v>
      </c>
      <c r="C976" s="79" t="n">
        <f aca="false">Cap_20!B18</f>
        <v>0.2</v>
      </c>
      <c r="D976" s="79" t="n">
        <f aca="false">Cap_20!D18</f>
        <v>0.2</v>
      </c>
      <c r="E976" s="73" t="str">
        <f aca="false">Cap_20!E18</f>
        <v>OK</v>
      </c>
    </row>
    <row r="977" customFormat="false" ht="15" hidden="false" customHeight="true" outlineLevel="0" collapsed="false">
      <c r="A977" s="71" t="s">
        <v>76</v>
      </c>
      <c r="B977" s="71" t="s">
        <v>1824</v>
      </c>
      <c r="C977" s="72" t="n">
        <f aca="false">Cap_20!B25</f>
        <v>28</v>
      </c>
      <c r="D977" s="72" t="n">
        <f aca="false">Cap_20!D25</f>
        <v>28</v>
      </c>
      <c r="E977" s="73" t="str">
        <f aca="false">Cap_20!E25</f>
        <v>OK</v>
      </c>
    </row>
    <row r="978" customFormat="false" ht="15" hidden="false" customHeight="true" outlineLevel="0" collapsed="false">
      <c r="A978" s="71" t="s">
        <v>76</v>
      </c>
      <c r="B978" s="71" t="s">
        <v>1827</v>
      </c>
      <c r="C978" s="79" t="n">
        <f aca="false">Cap_20!B28</f>
        <v>0.35</v>
      </c>
      <c r="D978" s="79" t="n">
        <f aca="false">Cap_20!D28</f>
        <v>0.35</v>
      </c>
      <c r="E978" s="73" t="str">
        <f aca="false">Cap_20!E28</f>
        <v>OK</v>
      </c>
    </row>
    <row r="979" customFormat="false" ht="15" hidden="false" customHeight="true" outlineLevel="0" collapsed="false">
      <c r="A979" s="71" t="s">
        <v>76</v>
      </c>
      <c r="B979" s="71" t="s">
        <v>1829</v>
      </c>
      <c r="C979" s="72" t="n">
        <f aca="false">Cap_20!B30</f>
        <v>12500</v>
      </c>
      <c r="D979" s="72" t="n">
        <f aca="false">Cap_20!D30</f>
        <v>12500</v>
      </c>
      <c r="E979" s="73" t="str">
        <f aca="false">Cap_20!E30</f>
        <v>OK</v>
      </c>
    </row>
    <row r="980" customFormat="false" ht="15" hidden="false" customHeight="true" outlineLevel="0" collapsed="false">
      <c r="A980" s="71" t="s">
        <v>76</v>
      </c>
      <c r="B980" s="71" t="s">
        <v>1830</v>
      </c>
      <c r="C980" s="72" t="n">
        <f aca="false">Cap_20!B31</f>
        <v>1000000</v>
      </c>
      <c r="D980" s="72" t="n">
        <f aca="false">Cap_20!D31</f>
        <v>1000000</v>
      </c>
      <c r="E980" s="73" t="str">
        <f aca="false">Cap_20!E31</f>
        <v>OK</v>
      </c>
    </row>
    <row r="981" customFormat="false" ht="15" hidden="false" customHeight="true" outlineLevel="0" collapsed="false">
      <c r="A981" s="71" t="s">
        <v>76</v>
      </c>
      <c r="B981" s="71" t="s">
        <v>1832</v>
      </c>
      <c r="C981" s="72" t="n">
        <f aca="false">Cap_20!B33</f>
        <v>200000</v>
      </c>
      <c r="D981" s="72" t="n">
        <f aca="false">Cap_20!D33</f>
        <v>200000</v>
      </c>
      <c r="E981" s="73" t="str">
        <f aca="false">Cap_20!E33</f>
        <v>OK</v>
      </c>
    </row>
    <row r="982" customFormat="false" ht="15" hidden="false" customHeight="true" outlineLevel="0" collapsed="false">
      <c r="A982" s="71" t="s">
        <v>76</v>
      </c>
      <c r="B982" s="71" t="s">
        <v>1833</v>
      </c>
      <c r="C982" s="79" t="n">
        <f aca="false">Cap_20!B34</f>
        <v>0.166666666666667</v>
      </c>
      <c r="D982" s="79" t="n">
        <f aca="false">Cap_20!D34</f>
        <v>0.1667</v>
      </c>
      <c r="E982" s="73" t="str">
        <f aca="false">Cap_20!E34</f>
        <v>OK</v>
      </c>
    </row>
    <row r="983" customFormat="false" ht="15" hidden="false" customHeight="true" outlineLevel="0" collapsed="false">
      <c r="A983" s="71" t="s">
        <v>76</v>
      </c>
      <c r="B983" s="71" t="s">
        <v>1838</v>
      </c>
      <c r="C983" s="72" t="n">
        <f aca="false">Cap_20!B41</f>
        <v>-50000</v>
      </c>
      <c r="D983" s="72" t="n">
        <f aca="false">Cap_20!D41</f>
        <v>-50000</v>
      </c>
      <c r="E983" s="73" t="str">
        <f aca="false">Cap_20!E41</f>
        <v>OK</v>
      </c>
    </row>
    <row r="984" customFormat="false" ht="15" hidden="false" customHeight="true" outlineLevel="0" collapsed="false">
      <c r="A984" s="71" t="s">
        <v>76</v>
      </c>
      <c r="B984" s="71" t="s">
        <v>1839</v>
      </c>
      <c r="C984" s="79" t="n">
        <f aca="false">Cap_20!B42</f>
        <v>-0.0416666666666667</v>
      </c>
      <c r="D984" s="79" t="n">
        <f aca="false">Cap_20!D42</f>
        <v>-0.0417</v>
      </c>
      <c r="E984" s="73" t="str">
        <f aca="false">Cap_20!E42</f>
        <v>OK</v>
      </c>
    </row>
    <row r="985" customFormat="false" ht="15" hidden="false" customHeight="true" outlineLevel="0" collapsed="false">
      <c r="A985" s="71" t="s">
        <v>76</v>
      </c>
      <c r="B985" s="71" t="s">
        <v>1842</v>
      </c>
      <c r="C985" s="72" t="n">
        <f aca="false">Cap_20!B45</f>
        <v>20000</v>
      </c>
      <c r="D985" s="72" t="n">
        <f aca="false">Cap_20!D45</f>
        <v>20000</v>
      </c>
      <c r="E985" s="73" t="str">
        <f aca="false">Cap_20!E45</f>
        <v>OK</v>
      </c>
    </row>
    <row r="986" customFormat="false" ht="15" hidden="false" customHeight="true" outlineLevel="0" collapsed="false">
      <c r="A986" s="71" t="s">
        <v>76</v>
      </c>
      <c r="B986" s="71" t="s">
        <v>1843</v>
      </c>
      <c r="C986" s="79" t="n">
        <f aca="false">Cap_20!B46</f>
        <v>0.05</v>
      </c>
      <c r="D986" s="79" t="n">
        <f aca="false">Cap_20!D46</f>
        <v>0.05</v>
      </c>
      <c r="E986" s="73" t="str">
        <f aca="false">Cap_20!E46</f>
        <v>OK</v>
      </c>
    </row>
    <row r="987" customFormat="false" ht="15" hidden="false" customHeight="true" outlineLevel="0" collapsed="false">
      <c r="A987" s="71" t="s">
        <v>76</v>
      </c>
      <c r="B987" s="71" t="s">
        <v>1846</v>
      </c>
      <c r="C987" s="72" t="n">
        <f aca="false">Cap_20!B49</f>
        <v>-20000</v>
      </c>
      <c r="D987" s="72" t="n">
        <f aca="false">Cap_20!D49</f>
        <v>-20000</v>
      </c>
      <c r="E987" s="73" t="str">
        <f aca="false">Cap_20!E49</f>
        <v>OK</v>
      </c>
    </row>
    <row r="988" customFormat="false" ht="15" hidden="false" customHeight="true" outlineLevel="0" collapsed="false">
      <c r="A988" s="71" t="s">
        <v>76</v>
      </c>
      <c r="B988" s="71" t="s">
        <v>1847</v>
      </c>
      <c r="C988" s="79" t="n">
        <f aca="false">Cap_20!B50</f>
        <v>-0.105263157894737</v>
      </c>
      <c r="D988" s="79" t="n">
        <f aca="false">Cap_20!D50</f>
        <v>-0.1053</v>
      </c>
      <c r="E988" s="73" t="str">
        <f aca="false">Cap_20!E50</f>
        <v>OK</v>
      </c>
    </row>
    <row r="989" customFormat="false" ht="15" hidden="false" customHeight="true" outlineLevel="0" collapsed="false">
      <c r="A989" s="71" t="s">
        <v>76</v>
      </c>
      <c r="B989" s="71" t="s">
        <v>1856</v>
      </c>
      <c r="C989" s="72" t="n">
        <f aca="false">Cap_20!B61</f>
        <v>25</v>
      </c>
      <c r="D989" s="72" t="n">
        <f aca="false">Cap_20!D61</f>
        <v>25</v>
      </c>
      <c r="E989" s="73" t="str">
        <f aca="false">Cap_20!E61</f>
        <v>OK</v>
      </c>
    </row>
    <row r="990" customFormat="false" ht="15" hidden="false" customHeight="true" outlineLevel="0" collapsed="false">
      <c r="A990" s="71" t="s">
        <v>76</v>
      </c>
      <c r="B990" s="71" t="s">
        <v>1857</v>
      </c>
      <c r="C990" s="72" t="n">
        <f aca="false">Cap_20!B62</f>
        <v>300</v>
      </c>
      <c r="D990" s="72" t="n">
        <f aca="false">Cap_20!D62</f>
        <v>300</v>
      </c>
      <c r="E990" s="73" t="str">
        <f aca="false">Cap_20!E62</f>
        <v>OK</v>
      </c>
    </row>
    <row r="991" customFormat="false" ht="15" hidden="false" customHeight="true" outlineLevel="0" collapsed="false">
      <c r="A991" s="71" t="s">
        <v>76</v>
      </c>
      <c r="B991" s="71" t="s">
        <v>1858</v>
      </c>
      <c r="C991" s="79" t="n">
        <f aca="false">Cap_20!B63</f>
        <v>0.0833333333333333</v>
      </c>
      <c r="D991" s="79" t="n">
        <f aca="false">Cap_20!D63</f>
        <v>0.0833</v>
      </c>
      <c r="E991" s="73" t="str">
        <f aca="false">Cap_20!E63</f>
        <v>OK</v>
      </c>
    </row>
    <row r="992" customFormat="false" ht="15" hidden="false" customHeight="true" outlineLevel="0" collapsed="false">
      <c r="A992" s="71" t="s">
        <v>76</v>
      </c>
      <c r="B992" s="71" t="s">
        <v>1859</v>
      </c>
      <c r="C992" s="79" t="n">
        <f aca="false">Cap_20!B64</f>
        <v>0.916666666666667</v>
      </c>
      <c r="D992" s="79" t="n">
        <f aca="false">Cap_20!D64</f>
        <v>0.9167</v>
      </c>
      <c r="E992" s="73" t="str">
        <f aca="false">Cap_20!E64</f>
        <v>OK</v>
      </c>
    </row>
    <row r="993" customFormat="false" ht="15" hidden="false" customHeight="true" outlineLevel="0" collapsed="false">
      <c r="A993" s="71" t="s">
        <v>76</v>
      </c>
      <c r="B993" s="71" t="s">
        <v>1860</v>
      </c>
      <c r="C993" s="79" t="n">
        <f aca="false">Cap_20!B65</f>
        <v>0.0166666666666667</v>
      </c>
      <c r="D993" s="79" t="n">
        <f aca="false">Cap_20!D65</f>
        <v>0.0167</v>
      </c>
      <c r="E993" s="73" t="str">
        <f aca="false">Cap_20!E65</f>
        <v>OK</v>
      </c>
    </row>
    <row r="994" customFormat="false" ht="15" hidden="false" customHeight="true" outlineLevel="0" collapsed="false">
      <c r="A994" s="71" t="s">
        <v>76</v>
      </c>
      <c r="B994" s="71" t="s">
        <v>1867</v>
      </c>
      <c r="C994" s="75" t="n">
        <f aca="false">Cap_20!B73</f>
        <v>48.6666666666667</v>
      </c>
      <c r="D994" s="75" t="n">
        <f aca="false">Cap_20!D73</f>
        <v>48.67</v>
      </c>
      <c r="E994" s="73" t="str">
        <f aca="false">Cap_20!E73</f>
        <v>OK</v>
      </c>
    </row>
    <row r="995" customFormat="false" ht="15" hidden="false" customHeight="true" outlineLevel="0" collapsed="false">
      <c r="A995" s="71" t="s">
        <v>76</v>
      </c>
      <c r="B995" s="71" t="s">
        <v>1870</v>
      </c>
      <c r="C995" s="75" t="n">
        <f aca="false">Cap_20!B76</f>
        <v>60.8333333333333</v>
      </c>
      <c r="D995" s="75" t="n">
        <f aca="false">Cap_20!D76</f>
        <v>60.83</v>
      </c>
      <c r="E995" s="73" t="str">
        <f aca="false">Cap_20!E76</f>
        <v>OK</v>
      </c>
    </row>
    <row r="996" customFormat="false" ht="15" hidden="false" customHeight="true" outlineLevel="0" collapsed="false">
      <c r="A996" s="71" t="s">
        <v>76</v>
      </c>
      <c r="B996" s="71" t="s">
        <v>1873</v>
      </c>
      <c r="C996" s="75" t="n">
        <f aca="false">Cap_20!B79</f>
        <v>50</v>
      </c>
      <c r="D996" s="75" t="n">
        <f aca="false">Cap_20!D79</f>
        <v>50</v>
      </c>
      <c r="E996" s="73" t="str">
        <f aca="false">Cap_20!E79</f>
        <v>OK</v>
      </c>
    </row>
    <row r="997" customFormat="false" ht="15" hidden="false" customHeight="true" outlineLevel="0" collapsed="false">
      <c r="A997" s="71" t="s">
        <v>76</v>
      </c>
      <c r="B997" s="71" t="s">
        <v>1874</v>
      </c>
      <c r="C997" s="75" t="n">
        <f aca="false">Cap_20!B80</f>
        <v>59.5</v>
      </c>
      <c r="D997" s="75" t="n">
        <f aca="false">Cap_20!D80</f>
        <v>59.5</v>
      </c>
      <c r="E997" s="73" t="str">
        <f aca="false">Cap_20!E80</f>
        <v>OK</v>
      </c>
    </row>
    <row r="998" customFormat="false" ht="15" hidden="false" customHeight="true" outlineLevel="0" collapsed="false">
      <c r="A998" s="71" t="s">
        <v>76</v>
      </c>
      <c r="B998" s="71" t="s">
        <v>1879</v>
      </c>
      <c r="C998" s="79" t="n">
        <f aca="false">Cap_20!B87</f>
        <v>0.0909090909090909</v>
      </c>
      <c r="D998" s="79" t="n">
        <f aca="false">Cap_20!D87</f>
        <v>0.0909</v>
      </c>
      <c r="E998" s="73" t="str">
        <f aca="false">Cap_20!E87</f>
        <v>OK</v>
      </c>
    </row>
    <row r="999" customFormat="false" ht="15" hidden="false" customHeight="true" outlineLevel="0" collapsed="false">
      <c r="A999" s="71" t="s">
        <v>76</v>
      </c>
      <c r="B999" s="71" t="s">
        <v>1882</v>
      </c>
      <c r="C999" s="72" t="n">
        <f aca="false">Cap_20!B90</f>
        <v>50</v>
      </c>
      <c r="D999" s="72" t="n">
        <f aca="false">Cap_20!D90</f>
        <v>50</v>
      </c>
      <c r="E999" s="73" t="str">
        <f aca="false">Cap_20!E90</f>
        <v>OK</v>
      </c>
    </row>
    <row r="1000" customFormat="false" ht="15" hidden="false" customHeight="true" outlineLevel="0" collapsed="false">
      <c r="A1000" s="71" t="s">
        <v>76</v>
      </c>
      <c r="B1000" s="71" t="s">
        <v>1885</v>
      </c>
      <c r="C1000" s="79" t="n">
        <f aca="false">Cap_20!B93</f>
        <v>0.1</v>
      </c>
      <c r="D1000" s="79" t="n">
        <f aca="false">Cap_20!D93</f>
        <v>0.1</v>
      </c>
      <c r="E1000" s="73" t="str">
        <f aca="false">Cap_20!E93</f>
        <v>OK</v>
      </c>
    </row>
    <row r="1001" customFormat="false" ht="15" hidden="false" customHeight="true" outlineLevel="0" collapsed="false">
      <c r="A1001" s="71" t="s">
        <v>76</v>
      </c>
      <c r="B1001" s="71" t="s">
        <v>1888</v>
      </c>
      <c r="C1001" s="72" t="n">
        <f aca="false">Cap_20!B96</f>
        <v>85000</v>
      </c>
      <c r="D1001" s="72" t="n">
        <f aca="false">Cap_20!D96</f>
        <v>85000</v>
      </c>
      <c r="E1001" s="73" t="str">
        <f aca="false">Cap_20!E96</f>
        <v>OK</v>
      </c>
    </row>
    <row r="1002" customFormat="false" ht="15" hidden="false" customHeight="true" outlineLevel="0" collapsed="false">
      <c r="A1002" s="71" t="s">
        <v>76</v>
      </c>
      <c r="B1002" s="71" t="s">
        <v>1889</v>
      </c>
      <c r="C1002" s="79" t="n">
        <f aca="false">Cap_20!B97</f>
        <v>0.34</v>
      </c>
      <c r="D1002" s="79" t="n">
        <f aca="false">Cap_20!D97</f>
        <v>0.34</v>
      </c>
      <c r="E1002" s="73" t="str">
        <f aca="false">Cap_20!E97</f>
        <v>OK</v>
      </c>
    </row>
    <row r="1003" customFormat="false" ht="15" hidden="false" customHeight="true" outlineLevel="0" collapsed="false">
      <c r="A1003" s="71" t="s">
        <v>76</v>
      </c>
      <c r="B1003" s="71" t="s">
        <v>1894</v>
      </c>
      <c r="C1003" s="79" t="n">
        <f aca="false">Cap_20!B104</f>
        <v>0.8</v>
      </c>
      <c r="D1003" s="79" t="n">
        <f aca="false">Cap_20!D104</f>
        <v>0.8</v>
      </c>
      <c r="E1003" s="73" t="str">
        <f aca="false">Cap_20!E104</f>
        <v>OK</v>
      </c>
    </row>
    <row r="1004" customFormat="false" ht="15" hidden="false" customHeight="true" outlineLevel="0" collapsed="false">
      <c r="A1004" s="71" t="s">
        <v>76</v>
      </c>
      <c r="B1004" s="71" t="s">
        <v>1897</v>
      </c>
      <c r="C1004" s="72" t="n">
        <f aca="false">Cap_20!B107</f>
        <v>4</v>
      </c>
      <c r="D1004" s="72" t="n">
        <f aca="false">Cap_20!D107</f>
        <v>4</v>
      </c>
      <c r="E1004" s="73" t="str">
        <f aca="false">Cap_20!E107</f>
        <v>OK</v>
      </c>
    </row>
    <row r="1005" customFormat="false" ht="15" hidden="false" customHeight="true" outlineLevel="0" collapsed="false">
      <c r="A1005" s="71" t="s">
        <v>76</v>
      </c>
      <c r="B1005" s="71" t="s">
        <v>1901</v>
      </c>
      <c r="C1005" s="72" t="n">
        <f aca="false">Cap_20!B110</f>
        <v>25</v>
      </c>
      <c r="D1005" s="72" t="n">
        <f aca="false">Cap_20!D110</f>
        <v>25</v>
      </c>
      <c r="E1005" s="73" t="str">
        <f aca="false">Cap_20!E110</f>
        <v>OK</v>
      </c>
    </row>
    <row r="1006" customFormat="false" ht="15" hidden="false" customHeight="true" outlineLevel="0" collapsed="false">
      <c r="A1006" s="71" t="s">
        <v>76</v>
      </c>
      <c r="B1006" s="71" t="s">
        <v>1904</v>
      </c>
      <c r="C1006" s="79" t="n">
        <f aca="false">Cap_20!B113</f>
        <v>0.02</v>
      </c>
      <c r="D1006" s="79" t="n">
        <f aca="false">Cap_20!D113</f>
        <v>0.02</v>
      </c>
      <c r="E1006" s="73" t="str">
        <f aca="false">Cap_20!E113</f>
        <v>OK</v>
      </c>
    </row>
    <row r="1007" customFormat="false" ht="15" hidden="false" customHeight="true" outlineLevel="0" collapsed="false">
      <c r="A1007" s="71" t="s">
        <v>76</v>
      </c>
      <c r="B1007" s="71" t="s">
        <v>1906</v>
      </c>
      <c r="C1007" s="79" t="n">
        <f aca="false">Cap_20!B115</f>
        <v>0.015</v>
      </c>
      <c r="D1007" s="79" t="n">
        <f aca="false">Cap_20!D115</f>
        <v>0.015</v>
      </c>
      <c r="E1007" s="73" t="str">
        <f aca="false">Cap_20!E115</f>
        <v>OK</v>
      </c>
    </row>
    <row r="1008" customFormat="false" ht="15" hidden="false" customHeight="true" outlineLevel="0" collapsed="false">
      <c r="A1008" s="71" t="s">
        <v>76</v>
      </c>
      <c r="B1008" s="71" t="s">
        <v>1911</v>
      </c>
      <c r="C1008" s="72" t="n">
        <f aca="false">Cap_20!B122</f>
        <v>556600</v>
      </c>
      <c r="D1008" s="72" t="n">
        <f aca="false">Cap_20!D122</f>
        <v>556600</v>
      </c>
      <c r="E1008" s="73" t="str">
        <f aca="false">Cap_20!E122</f>
        <v>OK</v>
      </c>
    </row>
    <row r="1009" customFormat="false" ht="15" hidden="false" customHeight="true" outlineLevel="0" collapsed="false">
      <c r="A1009" s="71" t="s">
        <v>76</v>
      </c>
      <c r="B1009" s="71" t="s">
        <v>1921</v>
      </c>
      <c r="C1009" s="72" t="n">
        <f aca="false">Cap_20!B131</f>
        <v>1000000</v>
      </c>
      <c r="D1009" s="72" t="n">
        <f aca="false">Cap_20!D131</f>
        <v>1000000</v>
      </c>
      <c r="E1009" s="73" t="str">
        <f aca="false">Cap_20!E131</f>
        <v>OK</v>
      </c>
    </row>
    <row r="1010" customFormat="false" ht="15" hidden="false" customHeight="true" outlineLevel="0" collapsed="false">
      <c r="A1010" s="71" t="s">
        <v>76</v>
      </c>
      <c r="B1010" s="71" t="s">
        <v>1924</v>
      </c>
      <c r="C1010" s="76" t="n">
        <f aca="false">Cap_20!B136</f>
        <v>0.0714707619610159</v>
      </c>
      <c r="D1010" s="76" t="n">
        <f aca="false">Cap_20!D136</f>
        <v>0.071</v>
      </c>
      <c r="E1010" s="73" t="str">
        <f aca="false">Cap_20!E136</f>
        <v>OK</v>
      </c>
    </row>
    <row r="1011" customFormat="false" ht="15" hidden="false" customHeight="true" outlineLevel="0" collapsed="false">
      <c r="A1011" s="71" t="s">
        <v>76</v>
      </c>
      <c r="B1011" s="71" t="s">
        <v>1925</v>
      </c>
      <c r="C1011" s="75" t="n">
        <f aca="false">Cap_20!B137</f>
        <v>3.386</v>
      </c>
      <c r="D1011" s="75" t="n">
        <f aca="false">Cap_20!D137</f>
        <v>3.39</v>
      </c>
      <c r="E1011" s="73" t="str">
        <f aca="false">Cap_20!E137</f>
        <v>OK</v>
      </c>
    </row>
    <row r="1012" customFormat="false" ht="15" hidden="false" customHeight="true" outlineLevel="0" collapsed="false">
      <c r="A1012" s="71" t="s">
        <v>76</v>
      </c>
      <c r="B1012" s="71" t="s">
        <v>1926</v>
      </c>
      <c r="C1012" s="76" t="n">
        <f aca="false">Cap_20!B138</f>
        <v>0.242</v>
      </c>
      <c r="D1012" s="76" t="n">
        <f aca="false">Cap_20!D138</f>
        <v>0.242</v>
      </c>
      <c r="E1012" s="73" t="str">
        <f aca="false">Cap_20!E138</f>
        <v>OK</v>
      </c>
    </row>
    <row r="1013" customFormat="false" ht="15" hidden="false" customHeight="true" outlineLevel="0" collapsed="false">
      <c r="A1013" s="71" t="s">
        <v>76</v>
      </c>
      <c r="B1013" s="71" t="s">
        <v>1927</v>
      </c>
      <c r="C1013" s="76" t="n">
        <f aca="false">Cap_20!B139</f>
        <v>0.242</v>
      </c>
      <c r="D1013" s="76" t="n">
        <f aca="false">Cap_20!D139</f>
        <v>0.242</v>
      </c>
      <c r="E1013" s="73" t="str">
        <f aca="false">Cap_20!E139</f>
        <v>OK</v>
      </c>
    </row>
    <row r="1014" customFormat="false" ht="15" hidden="false" customHeight="true" outlineLevel="0" collapsed="false">
      <c r="A1014" s="71" t="s">
        <v>76</v>
      </c>
      <c r="B1014" s="71" t="s">
        <v>1928</v>
      </c>
      <c r="C1014" s="75" t="n">
        <f aca="false">Cap_20!B140</f>
        <v>59.9997046662729</v>
      </c>
      <c r="D1014" s="75" t="n">
        <f aca="false">Cap_20!D140</f>
        <v>60</v>
      </c>
      <c r="E1014" s="73" t="str">
        <f aca="false">Cap_20!E140</f>
        <v>OK</v>
      </c>
    </row>
    <row r="1015" customFormat="false" ht="15" hidden="false" customHeight="true" outlineLevel="0" collapsed="false">
      <c r="A1015" s="71" t="s">
        <v>76</v>
      </c>
      <c r="B1015" s="71" t="s">
        <v>1929</v>
      </c>
      <c r="C1015" s="75" t="n">
        <f aca="false">Cap_20!B141</f>
        <v>44.9967728055077</v>
      </c>
      <c r="D1015" s="75" t="n">
        <f aca="false">Cap_20!D141</f>
        <v>45</v>
      </c>
      <c r="E1015" s="73" t="str">
        <f aca="false">Cap_20!E141</f>
        <v>OK</v>
      </c>
    </row>
    <row r="1016" customFormat="false" ht="15" hidden="false" customHeight="true" outlineLevel="0" collapsed="false">
      <c r="A1016" s="71" t="s">
        <v>76</v>
      </c>
      <c r="B1016" s="71" t="s">
        <v>1930</v>
      </c>
      <c r="C1016" s="75" t="n">
        <f aca="false">Cap_20!B142</f>
        <v>60</v>
      </c>
      <c r="D1016" s="75" t="n">
        <f aca="false">Cap_20!D142</f>
        <v>60</v>
      </c>
      <c r="E1016" s="73" t="str">
        <f aca="false">Cap_20!E142</f>
        <v>OK</v>
      </c>
    </row>
    <row r="1017" customFormat="false" ht="15" hidden="false" customHeight="true" outlineLevel="0" collapsed="false">
      <c r="A1017" s="71" t="s">
        <v>76</v>
      </c>
      <c r="B1017" s="71" t="s">
        <v>1931</v>
      </c>
      <c r="C1017" s="75" t="n">
        <f aca="false">Cap_20!B143</f>
        <v>44.9964774717806</v>
      </c>
      <c r="D1017" s="75" t="n">
        <f aca="false">Cap_20!D143</f>
        <v>45</v>
      </c>
      <c r="E1017" s="73" t="str">
        <f aca="false">Cap_20!E143</f>
        <v>OK</v>
      </c>
    </row>
    <row r="1018" customFormat="false" ht="15" hidden="false" customHeight="true" outlineLevel="0" collapsed="false">
      <c r="A1018" s="71" t="s">
        <v>76</v>
      </c>
      <c r="B1018" s="71" t="s">
        <v>1936</v>
      </c>
      <c r="C1018" s="72" t="n">
        <f aca="false">Cap_20!B149</f>
        <v>63</v>
      </c>
      <c r="D1018" s="72" t="n">
        <f aca="false">Cap_20!D149</f>
        <v>63</v>
      </c>
      <c r="E1018" s="73" t="str">
        <f aca="false">Cap_20!E149</f>
        <v>OK</v>
      </c>
    </row>
    <row r="1019" customFormat="false" ht="15" hidden="false" customHeight="true" outlineLevel="0" collapsed="false">
      <c r="A1019" s="71" t="s">
        <v>76</v>
      </c>
      <c r="B1019" s="71" t="s">
        <v>632</v>
      </c>
      <c r="C1019" s="72" t="n">
        <f aca="false">Cap_20!B150</f>
        <v>38</v>
      </c>
      <c r="D1019" s="72" t="n">
        <f aca="false">Cap_20!D150</f>
        <v>38</v>
      </c>
      <c r="E1019" s="73" t="str">
        <f aca="false">Cap_20!E150</f>
        <v>OK</v>
      </c>
    </row>
    <row r="1020" customFormat="false" ht="15" hidden="false" customHeight="true" outlineLevel="0" collapsed="false">
      <c r="A1020" s="71" t="s">
        <v>76</v>
      </c>
      <c r="B1020" s="71" t="s">
        <v>633</v>
      </c>
      <c r="C1020" s="72" t="n">
        <f aca="false">Cap_20!B151</f>
        <v>51</v>
      </c>
      <c r="D1020" s="72" t="n">
        <f aca="false">Cap_20!D151</f>
        <v>51</v>
      </c>
      <c r="E1020" s="73" t="str">
        <f aca="false">Cap_20!E151</f>
        <v>OK</v>
      </c>
    </row>
    <row r="1021" customFormat="false" ht="15" hidden="false" customHeight="true" outlineLevel="0" collapsed="false">
      <c r="A1021" s="71" t="s">
        <v>76</v>
      </c>
      <c r="B1021" s="71" t="s">
        <v>1937</v>
      </c>
      <c r="C1021" s="76" t="n">
        <f aca="false">Cap_20!B152</f>
        <v>0.313644418192558</v>
      </c>
      <c r="D1021" s="76" t="n">
        <f aca="false">Cap_20!D152</f>
        <v>0.314</v>
      </c>
      <c r="E1021" s="73" t="str">
        <f aca="false">Cap_20!E152</f>
        <v>OK</v>
      </c>
    </row>
    <row r="1022" customFormat="false" ht="15" hidden="false" customHeight="true" outlineLevel="0" collapsed="false">
      <c r="A1022" s="71" t="s">
        <v>76</v>
      </c>
      <c r="B1022" s="71" t="s">
        <v>1938</v>
      </c>
      <c r="C1022" s="72" t="n">
        <f aca="false">Cap_20!B153</f>
        <v>2346606.40301318</v>
      </c>
      <c r="D1022" s="72" t="n">
        <f aca="false">Cap_20!D153</f>
        <v>2346606</v>
      </c>
      <c r="E1022" s="73" t="str">
        <f aca="false">Cap_20!E153</f>
        <v>OK</v>
      </c>
    </row>
    <row r="1023" customFormat="false" ht="15" hidden="false" customHeight="true" outlineLevel="0" collapsed="false">
      <c r="A1023" s="71" t="s">
        <v>76</v>
      </c>
      <c r="B1023" s="71" t="s">
        <v>1939</v>
      </c>
      <c r="C1023" s="72" t="n">
        <f aca="false">Cap_20!B154</f>
        <v>1039393.59698682</v>
      </c>
      <c r="D1023" s="72" t="n">
        <f aca="false">Cap_20!D154</f>
        <v>1039394</v>
      </c>
      <c r="E1023" s="73" t="str">
        <f aca="false">Cap_20!E154</f>
        <v>OK</v>
      </c>
    </row>
    <row r="1024" customFormat="false" ht="15" hidden="false" customHeight="true" outlineLevel="0" collapsed="false">
      <c r="A1024" s="71" t="s">
        <v>76</v>
      </c>
      <c r="B1024" s="71" t="s">
        <v>1940</v>
      </c>
      <c r="C1024" s="76" t="n">
        <f aca="false">Cap_20!B155</f>
        <v>0.306967984934087</v>
      </c>
      <c r="D1024" s="76" t="n">
        <f aca="false">Cap_20!D155</f>
        <v>0.307</v>
      </c>
      <c r="E1024" s="73" t="str">
        <f aca="false">Cap_20!E155</f>
        <v>OK</v>
      </c>
    </row>
    <row r="1025" customFormat="false" ht="15" hidden="false" customHeight="true" outlineLevel="0" collapsed="false">
      <c r="A1025" s="71" t="s">
        <v>76</v>
      </c>
      <c r="B1025" s="71" t="s">
        <v>762</v>
      </c>
      <c r="C1025" s="75" t="n">
        <f aca="false">Cap_20!B156</f>
        <v>1.61157024793388</v>
      </c>
      <c r="D1025" s="75" t="n">
        <f aca="false">Cap_20!D156</f>
        <v>1.61</v>
      </c>
      <c r="E1025" s="73" t="str">
        <f aca="false">Cap_20!E156</f>
        <v>OK</v>
      </c>
    </row>
    <row r="1026" customFormat="false" ht="15" hidden="false" customHeight="true" outlineLevel="0" collapsed="false">
      <c r="A1026" s="71" t="s">
        <v>76</v>
      </c>
      <c r="B1026" s="71" t="s">
        <v>1941</v>
      </c>
      <c r="C1026" s="76" t="n">
        <f aca="false">Cap_20!B157</f>
        <v>1.14285714285714</v>
      </c>
      <c r="D1026" s="76" t="n">
        <f aca="false">Cap_20!D157</f>
        <v>1.143</v>
      </c>
      <c r="E1026" s="73" t="str">
        <f aca="false">Cap_20!E157</f>
        <v>OK</v>
      </c>
    </row>
    <row r="1027" customFormat="false" ht="15" hidden="false" customHeight="true" outlineLevel="0" collapsed="false">
      <c r="A1027" s="71" t="s">
        <v>76</v>
      </c>
      <c r="B1027" s="71" t="s">
        <v>1942</v>
      </c>
      <c r="C1027" s="75" t="n">
        <f aca="false">Cap_20!B158</f>
        <v>44.25</v>
      </c>
      <c r="D1027" s="75" t="n">
        <f aca="false">Cap_20!D158</f>
        <v>44.25</v>
      </c>
      <c r="E1027" s="73" t="str">
        <f aca="false">Cap_20!E158</f>
        <v>OK</v>
      </c>
    </row>
    <row r="1028" customFormat="false" ht="15" hidden="false" customHeight="true" outlineLevel="0" collapsed="false">
      <c r="A1028" s="71" t="s">
        <v>76</v>
      </c>
      <c r="B1028" s="71" t="s">
        <v>1951</v>
      </c>
      <c r="C1028" s="72" t="n">
        <f aca="false">Cap_20!B167</f>
        <v>-6100</v>
      </c>
      <c r="D1028" s="72" t="n">
        <f aca="false">Cap_20!D167</f>
        <v>-6100</v>
      </c>
      <c r="E1028" s="73" t="str">
        <f aca="false">Cap_20!E167</f>
        <v>OK</v>
      </c>
    </row>
    <row r="1029" customFormat="false" ht="15" hidden="false" customHeight="true" outlineLevel="0" collapsed="false">
      <c r="A1029" s="71" t="s">
        <v>76</v>
      </c>
      <c r="B1029" s="71" t="s">
        <v>1952</v>
      </c>
      <c r="C1029" s="76" t="n">
        <f aca="false">Cap_20!B168</f>
        <v>-0.00179829604080068</v>
      </c>
      <c r="D1029" s="76" t="n">
        <f aca="false">Cap_20!D168</f>
        <v>-0.002</v>
      </c>
      <c r="E1029" s="73" t="str">
        <f aca="false">Cap_20!E168</f>
        <v>OK</v>
      </c>
    </row>
    <row r="1030" customFormat="false" ht="15" hidden="false" customHeight="true" outlineLevel="0" collapsed="false">
      <c r="A1030" s="71" t="s">
        <v>76</v>
      </c>
      <c r="B1030" s="71" t="s">
        <v>1953</v>
      </c>
      <c r="C1030" s="72" t="n">
        <f aca="false">Cap_20!B170</f>
        <v>-27900</v>
      </c>
      <c r="D1030" s="72" t="n">
        <f aca="false">Cap_20!D170</f>
        <v>-27900</v>
      </c>
      <c r="E1030" s="73" t="str">
        <f aca="false">Cap_20!E170</f>
        <v>OK</v>
      </c>
    </row>
    <row r="1031" customFormat="false" ht="15" hidden="false" customHeight="true" outlineLevel="0" collapsed="false">
      <c r="A1031" s="71" t="s">
        <v>76</v>
      </c>
      <c r="B1031" s="71" t="s">
        <v>1954</v>
      </c>
      <c r="C1031" s="76" t="n">
        <f aca="false">Cap_20!B171</f>
        <v>-0.103371619118192</v>
      </c>
      <c r="D1031" s="76" t="n">
        <f aca="false">Cap_20!D171</f>
        <v>-0.103</v>
      </c>
      <c r="E1031" s="73" t="str">
        <f aca="false">Cap_20!E171</f>
        <v>OK</v>
      </c>
    </row>
    <row r="1032" customFormat="false" ht="15" hidden="false" customHeight="true" outlineLevel="0" collapsed="false">
      <c r="A1032" s="71" t="s">
        <v>76</v>
      </c>
      <c r="B1032" s="71" t="s">
        <v>1962</v>
      </c>
      <c r="C1032" s="76" t="n">
        <f aca="false">Cap_20!B177</f>
        <v>0.0233313644418193</v>
      </c>
      <c r="D1032" s="76" t="n">
        <f aca="false">Cap_20!D177</f>
        <v>0.023</v>
      </c>
      <c r="E1032" s="73" t="str">
        <f aca="false">Cap_20!E177</f>
        <v>OK</v>
      </c>
    </row>
    <row r="1033" customFormat="false" ht="15" hidden="false" customHeight="true" outlineLevel="0" collapsed="false">
      <c r="A1033" s="71" t="s">
        <v>76</v>
      </c>
      <c r="B1033" s="71" t="s">
        <v>1963</v>
      </c>
      <c r="C1033" s="76" t="n">
        <f aca="false">Cap_20!B178</f>
        <v>0.976668635558181</v>
      </c>
      <c r="D1033" s="76" t="n">
        <f aca="false">Cap_20!D178</f>
        <v>0.977</v>
      </c>
      <c r="E1033" s="73" t="str">
        <f aca="false">Cap_20!E178</f>
        <v>OK</v>
      </c>
    </row>
    <row r="1034" customFormat="false" ht="15" hidden="false" customHeight="true" outlineLevel="0" collapsed="false">
      <c r="A1034" s="71" t="s">
        <v>76</v>
      </c>
      <c r="B1034" s="71" t="s">
        <v>1964</v>
      </c>
      <c r="C1034" s="76" t="n">
        <f aca="false">Cap_20!B179</f>
        <v>0.0233313644418193</v>
      </c>
      <c r="D1034" s="76" t="n">
        <f aca="false">Cap_20!D179</f>
        <v>0.023</v>
      </c>
      <c r="E1034" s="73" t="str">
        <f aca="false">Cap_20!E179</f>
        <v>OK</v>
      </c>
    </row>
    <row r="1035" customFormat="false" ht="15" hidden="false" customHeight="true" outlineLevel="0" collapsed="false">
      <c r="A1035" s="71" t="s">
        <v>76</v>
      </c>
      <c r="B1035" s="71" t="s">
        <v>1967</v>
      </c>
      <c r="C1035" s="76" t="n">
        <f aca="false">Cap_20!B182</f>
        <v>0.08</v>
      </c>
      <c r="D1035" s="76" t="n">
        <f aca="false">Cap_20!D182</f>
        <v>0.08</v>
      </c>
      <c r="E1035" s="73" t="str">
        <f aca="false">Cap_20!E182</f>
        <v>OK</v>
      </c>
    </row>
    <row r="1036" customFormat="false" ht="15" hidden="false" customHeight="true" outlineLevel="0" collapsed="false">
      <c r="A1036" s="71" t="s">
        <v>76</v>
      </c>
      <c r="B1036" s="71" t="s">
        <v>1970</v>
      </c>
      <c r="C1036" s="76" t="n">
        <f aca="false">Cap_20!B185</f>
        <v>0.0333333333333333</v>
      </c>
      <c r="D1036" s="76" t="n">
        <f aca="false">Cap_20!D185</f>
        <v>0.033</v>
      </c>
      <c r="E1036" s="73" t="str">
        <f aca="false">Cap_20!E185</f>
        <v>OK</v>
      </c>
    </row>
    <row r="1037" customFormat="false" ht="15" hidden="false" customHeight="true" outlineLevel="0" collapsed="false">
      <c r="A1037" s="71" t="s">
        <v>76</v>
      </c>
      <c r="B1037" s="71" t="s">
        <v>160</v>
      </c>
      <c r="C1037" s="72" t="n">
        <f aca="false">Cap_20!B191</f>
        <v>242000</v>
      </c>
      <c r="D1037" s="72" t="n">
        <f aca="false">Cap_20!D191</f>
        <v>242000</v>
      </c>
      <c r="E1037" s="73" t="str">
        <f aca="false">Cap_20!E191</f>
        <v>OK</v>
      </c>
    </row>
    <row r="1038" customFormat="false" ht="15" hidden="false" customHeight="true" outlineLevel="0" collapsed="false">
      <c r="A1038" s="71" t="s">
        <v>76</v>
      </c>
      <c r="B1038" s="71" t="s">
        <v>1975</v>
      </c>
      <c r="C1038" s="72" t="n">
        <f aca="false">Cap_20!B192</f>
        <v>74000</v>
      </c>
      <c r="D1038" s="72" t="n">
        <f aca="false">Cap_20!D192</f>
        <v>74000</v>
      </c>
      <c r="E1038" s="73" t="str">
        <f aca="false">Cap_20!E192</f>
        <v>OK</v>
      </c>
    </row>
    <row r="1039" customFormat="false" ht="15" hidden="false" customHeight="true" outlineLevel="0" collapsed="false">
      <c r="A1039" s="71" t="s">
        <v>76</v>
      </c>
      <c r="B1039" s="71" t="s">
        <v>1976</v>
      </c>
      <c r="C1039" s="72" t="n">
        <f aca="false">Cap_20!B193</f>
        <v>-180000</v>
      </c>
      <c r="D1039" s="72" t="n">
        <f aca="false">Cap_20!D193</f>
        <v>-180000</v>
      </c>
      <c r="E1039" s="73" t="str">
        <f aca="false">Cap_20!E193</f>
        <v>OK</v>
      </c>
    </row>
    <row r="1040" customFormat="false" ht="15" hidden="false" customHeight="true" outlineLevel="0" collapsed="false">
      <c r="A1040" s="71" t="s">
        <v>76</v>
      </c>
      <c r="B1040" s="71" t="s">
        <v>1977</v>
      </c>
      <c r="C1040" s="72" t="n">
        <f aca="false">Cap_20!B194</f>
        <v>-0</v>
      </c>
      <c r="D1040" s="72" t="n">
        <f aca="false">Cap_20!D194</f>
        <v>0</v>
      </c>
      <c r="E1040" s="73" t="str">
        <f aca="false">Cap_20!E194</f>
        <v>OK</v>
      </c>
    </row>
    <row r="1041" customFormat="false" ht="15" hidden="false" customHeight="true" outlineLevel="0" collapsed="false">
      <c r="A1041" s="71" t="s">
        <v>76</v>
      </c>
      <c r="B1041" s="71" t="s">
        <v>1978</v>
      </c>
      <c r="C1041" s="72" t="n">
        <f aca="false">Cap_20!B195</f>
        <v>0</v>
      </c>
      <c r="D1041" s="72" t="n">
        <f aca="false">Cap_20!D195</f>
        <v>0</v>
      </c>
      <c r="E1041" s="73" t="str">
        <f aca="false">Cap_20!E195</f>
        <v>OK</v>
      </c>
    </row>
    <row r="1042" customFormat="false" ht="15" hidden="false" customHeight="true" outlineLevel="0" collapsed="false">
      <c r="A1042" s="71" t="s">
        <v>76</v>
      </c>
      <c r="B1042" s="71" t="s">
        <v>1137</v>
      </c>
      <c r="C1042" s="72" t="n">
        <f aca="false">Cap_20!B196</f>
        <v>136000</v>
      </c>
      <c r="D1042" s="72" t="n">
        <f aca="false">Cap_20!D196</f>
        <v>136000</v>
      </c>
      <c r="E1042" s="73" t="str">
        <f aca="false">Cap_20!E196</f>
        <v>OK</v>
      </c>
    </row>
    <row r="1043" customFormat="false" ht="15" hidden="false" customHeight="true" outlineLevel="0" collapsed="false">
      <c r="A1043" s="71" t="s">
        <v>76</v>
      </c>
      <c r="B1043" s="71" t="s">
        <v>1979</v>
      </c>
      <c r="C1043" s="72" t="n">
        <f aca="false">Cap_20!B197</f>
        <v>-74000</v>
      </c>
      <c r="D1043" s="72" t="n">
        <f aca="false">Cap_20!D197</f>
        <v>-74000</v>
      </c>
      <c r="E1043" s="73" t="str">
        <f aca="false">Cap_20!E197</f>
        <v>OK</v>
      </c>
    </row>
    <row r="1044" customFormat="false" ht="15" hidden="false" customHeight="true" outlineLevel="0" collapsed="false">
      <c r="A1044" s="71" t="s">
        <v>76</v>
      </c>
      <c r="B1044" s="71" t="s">
        <v>1980</v>
      </c>
      <c r="C1044" s="72" t="n">
        <f aca="false">Cap_20!B198</f>
        <v>62000</v>
      </c>
      <c r="D1044" s="72" t="n">
        <f aca="false">Cap_20!D198</f>
        <v>62000</v>
      </c>
      <c r="E1044" s="73" t="str">
        <f aca="false">Cap_20!E198</f>
        <v>OK</v>
      </c>
    </row>
    <row r="1045" customFormat="false" ht="15" hidden="false" customHeight="true" outlineLevel="0" collapsed="false">
      <c r="A1045" s="71" t="s">
        <v>76</v>
      </c>
      <c r="B1045" s="71" t="s">
        <v>1981</v>
      </c>
      <c r="C1045" s="72" t="n">
        <f aca="false">Cap_20!B199</f>
        <v>3206000</v>
      </c>
      <c r="D1045" s="72" t="n">
        <f aca="false">Cap_20!D199</f>
        <v>3206000</v>
      </c>
      <c r="E1045" s="73" t="str">
        <f aca="false">Cap_20!E199</f>
        <v>OK</v>
      </c>
    </row>
    <row r="1046" customFormat="false" ht="15" hidden="false" customHeight="true" outlineLevel="0" collapsed="false">
      <c r="A1046" s="71" t="s">
        <v>76</v>
      </c>
      <c r="B1046" s="71" t="s">
        <v>1982</v>
      </c>
      <c r="C1046" s="72" t="n">
        <f aca="false">Cap_20!B200</f>
        <v>880000</v>
      </c>
      <c r="D1046" s="72" t="n">
        <f aca="false">Cap_20!D200</f>
        <v>880000</v>
      </c>
      <c r="E1046" s="73" t="str">
        <f aca="false">Cap_20!E200</f>
        <v>OK</v>
      </c>
    </row>
    <row r="1047" customFormat="false" ht="15" hidden="false" customHeight="true" outlineLevel="0" collapsed="false">
      <c r="A1047" s="71" t="s">
        <v>76</v>
      </c>
      <c r="B1047" s="71" t="s">
        <v>1983</v>
      </c>
      <c r="C1047" s="72" t="n">
        <f aca="false">Cap_20!B201</f>
        <v>136000</v>
      </c>
      <c r="D1047" s="72" t="n">
        <f aca="false">Cap_20!D201</f>
        <v>136000</v>
      </c>
      <c r="E1047" s="73" t="str">
        <f aca="false">Cap_20!E201</f>
        <v>OK</v>
      </c>
    </row>
    <row r="1048" customFormat="false" ht="15" hidden="false" customHeight="true" outlineLevel="0" collapsed="false">
      <c r="A1048" s="71" t="s">
        <v>76</v>
      </c>
      <c r="B1048" s="71" t="s">
        <v>1984</v>
      </c>
      <c r="C1048" s="72" t="n">
        <f aca="false">Cap_20!B202</f>
        <v>9276.71232876712</v>
      </c>
      <c r="D1048" s="72" t="n">
        <f aca="false">Cap_20!D202</f>
        <v>9277</v>
      </c>
      <c r="E1048" s="73" t="str">
        <f aca="false">Cap_20!E202</f>
        <v>OK</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2026-09-28T13:45:22Z</dcterms:created>
  <dc:creator>Tania Cilio</dc:creator>
  <dc:description/>
  <dc:language>en-US</dc:language>
  <cp:lastModifiedBy>Tania Cilio</cp:lastModifiedBy>
  <dcterms:modified xsi:type="dcterms:W3CDTF">2026-09-29T09:48:17Z</dcterms:modified>
  <cp:revision>0</cp:revision>
  <dc:subject/>
  <dc:title>Controllo di gestione con l'intelligenza artificiale</dc:title>
</cp:coreProperties>
</file>

<file path=docProps/custom.xml><?xml version="1.0" encoding="utf-8"?>
<Properties xmlns="http://schemas.openxmlformats.org/officeDocument/2006/custom-properties" xmlns:vt="http://schemas.openxmlformats.org/officeDocument/2006/docPropsVTypes"/>
</file>